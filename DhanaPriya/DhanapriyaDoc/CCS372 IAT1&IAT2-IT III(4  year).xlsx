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9C90DC-FDE5-4A6D-A051-30E10004EC98}" xr6:coauthVersionLast="47" xr6:coauthVersionMax="47" xr10:uidLastSave="{00000000-0000-0000-0000-000000000000}"/>
  <bookViews>
    <workbookView xWindow="0" yWindow="12" windowWidth="23256" windowHeight="13176" tabRatio="494" activeTab="2" xr2:uid="{00000000-000D-0000-FFFF-FFFF00000000}"/>
  </bookViews>
  <sheets>
    <sheet name="IAT I" sheetId="6" r:id="rId1"/>
    <sheet name="IAT II" sheetId="7" r:id="rId2"/>
    <sheet name="MODEL" sheetId="8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22" i="8" l="1"/>
  <c r="AD21" i="8"/>
  <c r="AD20" i="8"/>
  <c r="AD19" i="8"/>
  <c r="AD18" i="8"/>
  <c r="AD17" i="8"/>
  <c r="AD16" i="8"/>
  <c r="AD15" i="8"/>
  <c r="AD13" i="8"/>
  <c r="AD12" i="8"/>
  <c r="AD11" i="8"/>
  <c r="AD8" i="8"/>
  <c r="AD10" i="8"/>
  <c r="G79" i="7"/>
  <c r="P34" i="7"/>
  <c r="Q78" i="7"/>
  <c r="H78" i="7"/>
  <c r="I78" i="7"/>
  <c r="J78" i="7"/>
  <c r="K78" i="7"/>
  <c r="L78" i="7"/>
  <c r="L79" i="7" s="1"/>
  <c r="M78" i="7"/>
  <c r="N78" i="7"/>
  <c r="O78" i="7"/>
  <c r="P78" i="7"/>
  <c r="P79" i="7" s="1"/>
  <c r="G78" i="7"/>
  <c r="Q77" i="7"/>
  <c r="P77" i="7"/>
  <c r="O77" i="7"/>
  <c r="N77" i="7"/>
  <c r="M77" i="7"/>
  <c r="L77" i="7"/>
  <c r="K77" i="7"/>
  <c r="I77" i="7"/>
  <c r="J77" i="7"/>
  <c r="H77" i="7"/>
  <c r="G77" i="7"/>
  <c r="E76" i="6"/>
  <c r="F79" i="7"/>
  <c r="O78" i="6"/>
  <c r="L78" i="6"/>
  <c r="H78" i="6"/>
  <c r="F78" i="6"/>
  <c r="E78" i="6"/>
  <c r="O77" i="6"/>
  <c r="H77" i="6"/>
  <c r="F77" i="6"/>
  <c r="G77" i="6"/>
  <c r="I77" i="6"/>
  <c r="J77" i="6"/>
  <c r="K77" i="6"/>
  <c r="L77" i="6"/>
  <c r="M77" i="6"/>
  <c r="N77" i="6"/>
  <c r="E77" i="6"/>
  <c r="O76" i="6"/>
  <c r="M76" i="6"/>
  <c r="K76" i="6"/>
  <c r="N76" i="6"/>
  <c r="L76" i="6"/>
  <c r="J76" i="6"/>
  <c r="H76" i="6"/>
  <c r="F76" i="6"/>
  <c r="G76" i="6"/>
  <c r="I76" i="6"/>
  <c r="R74" i="7"/>
  <c r="Q74" i="7"/>
  <c r="P74" i="7"/>
  <c r="R73" i="7"/>
  <c r="Q73" i="7"/>
  <c r="P73" i="7"/>
  <c r="R72" i="7"/>
  <c r="Q72" i="7"/>
  <c r="P72" i="7"/>
  <c r="R71" i="7"/>
  <c r="Q71" i="7"/>
  <c r="P71" i="7"/>
  <c r="R70" i="7"/>
  <c r="Q70" i="7"/>
  <c r="P70" i="7"/>
  <c r="R69" i="7"/>
  <c r="Q69" i="7"/>
  <c r="P69" i="7"/>
  <c r="R68" i="7"/>
  <c r="Q68" i="7"/>
  <c r="P68" i="7"/>
  <c r="R67" i="7"/>
  <c r="Q67" i="7"/>
  <c r="P67" i="7"/>
  <c r="R66" i="7"/>
  <c r="Q66" i="7"/>
  <c r="P66" i="7"/>
  <c r="R65" i="7"/>
  <c r="Q65" i="7"/>
  <c r="P65" i="7"/>
  <c r="R64" i="7"/>
  <c r="Q64" i="7"/>
  <c r="P64" i="7"/>
  <c r="R63" i="7"/>
  <c r="Q63" i="7"/>
  <c r="P63" i="7"/>
  <c r="R62" i="7"/>
  <c r="Q62" i="7"/>
  <c r="P62" i="7"/>
  <c r="R61" i="7"/>
  <c r="Q61" i="7"/>
  <c r="P61" i="7"/>
  <c r="R60" i="7"/>
  <c r="Q60" i="7"/>
  <c r="P60" i="7"/>
  <c r="R59" i="7"/>
  <c r="Q59" i="7"/>
  <c r="P59" i="7"/>
  <c r="R58" i="7"/>
  <c r="Q58" i="7"/>
  <c r="P58" i="7"/>
  <c r="R57" i="7"/>
  <c r="Q57" i="7"/>
  <c r="P57" i="7"/>
  <c r="R56" i="7"/>
  <c r="Q56" i="7"/>
  <c r="P56" i="7"/>
  <c r="R55" i="7"/>
  <c r="Q55" i="7"/>
  <c r="P55" i="7"/>
  <c r="R54" i="7"/>
  <c r="Q54" i="7"/>
  <c r="P54" i="7"/>
  <c r="R53" i="7"/>
  <c r="Q53" i="7"/>
  <c r="P53" i="7"/>
  <c r="R52" i="7"/>
  <c r="Q52" i="7"/>
  <c r="P52" i="7"/>
  <c r="R51" i="7"/>
  <c r="Q51" i="7"/>
  <c r="P51" i="7"/>
  <c r="R50" i="7"/>
  <c r="Q50" i="7"/>
  <c r="P50" i="7"/>
  <c r="R49" i="7"/>
  <c r="Q49" i="7"/>
  <c r="P49" i="7"/>
  <c r="R48" i="7"/>
  <c r="Q48" i="7"/>
  <c r="P48" i="7"/>
  <c r="R47" i="7"/>
  <c r="Q47" i="7"/>
  <c r="P47" i="7"/>
  <c r="R46" i="7"/>
  <c r="Q46" i="7"/>
  <c r="P46" i="7"/>
  <c r="R45" i="7"/>
  <c r="Q45" i="7"/>
  <c r="P45" i="7"/>
  <c r="R44" i="7"/>
  <c r="Q44" i="7"/>
  <c r="P44" i="7"/>
  <c r="R43" i="7"/>
  <c r="Q43" i="7"/>
  <c r="P43" i="7"/>
  <c r="R42" i="7"/>
  <c r="Q42" i="7"/>
  <c r="P42" i="7"/>
  <c r="R41" i="7"/>
  <c r="Q41" i="7"/>
  <c r="P41" i="7"/>
  <c r="R40" i="7"/>
  <c r="Q40" i="7"/>
  <c r="P40" i="7"/>
  <c r="R39" i="7"/>
  <c r="Q39" i="7"/>
  <c r="P39" i="7"/>
  <c r="R38" i="7"/>
  <c r="Q38" i="7"/>
  <c r="P38" i="7"/>
  <c r="R37" i="7"/>
  <c r="Q37" i="7"/>
  <c r="P37" i="7"/>
  <c r="R36" i="7"/>
  <c r="Q36" i="7"/>
  <c r="P36" i="7"/>
  <c r="R35" i="7"/>
  <c r="Q35" i="7"/>
  <c r="P35" i="7"/>
  <c r="R34" i="7"/>
  <c r="Q34" i="7"/>
  <c r="R33" i="7"/>
  <c r="Q33" i="7"/>
  <c r="P33" i="7"/>
  <c r="R32" i="7"/>
  <c r="Q32" i="7"/>
  <c r="P32" i="7"/>
  <c r="R31" i="7"/>
  <c r="Q31" i="7"/>
  <c r="P31" i="7"/>
  <c r="R30" i="7"/>
  <c r="Q30" i="7"/>
  <c r="P30" i="7"/>
  <c r="R29" i="7"/>
  <c r="Q29" i="7"/>
  <c r="P29" i="7"/>
  <c r="R28" i="7"/>
  <c r="Q28" i="7"/>
  <c r="P28" i="7"/>
  <c r="R27" i="7"/>
  <c r="Q27" i="7"/>
  <c r="P27" i="7"/>
  <c r="R26" i="7"/>
  <c r="Q26" i="7"/>
  <c r="P26" i="7"/>
  <c r="R25" i="7"/>
  <c r="Q25" i="7"/>
  <c r="P25" i="7"/>
  <c r="R24" i="7"/>
  <c r="Q24" i="7"/>
  <c r="P24" i="7"/>
  <c r="R23" i="7"/>
  <c r="Q23" i="7"/>
  <c r="P23" i="7"/>
  <c r="R22" i="7"/>
  <c r="Q22" i="7"/>
  <c r="P22" i="7"/>
  <c r="R21" i="7"/>
  <c r="Q21" i="7"/>
  <c r="P21" i="7"/>
  <c r="R20" i="7"/>
  <c r="Q20" i="7"/>
  <c r="P20" i="7"/>
  <c r="R19" i="7"/>
  <c r="Q19" i="7"/>
  <c r="P19" i="7"/>
  <c r="R18" i="7"/>
  <c r="Q18" i="7"/>
  <c r="P18" i="7"/>
  <c r="R17" i="7"/>
  <c r="Q17" i="7"/>
  <c r="P17" i="7"/>
  <c r="R16" i="7"/>
  <c r="Q16" i="7"/>
  <c r="P16" i="7"/>
  <c r="R15" i="7"/>
  <c r="Q15" i="7"/>
  <c r="P15" i="7"/>
  <c r="R14" i="7"/>
  <c r="Q14" i="7"/>
  <c r="P14" i="7"/>
  <c r="R13" i="7"/>
  <c r="Q13" i="7"/>
  <c r="P13" i="7"/>
  <c r="R12" i="7"/>
  <c r="Q12" i="7"/>
  <c r="P12" i="7"/>
  <c r="R11" i="7"/>
  <c r="Q11" i="7"/>
  <c r="P11" i="7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R11" i="6"/>
  <c r="Q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11" i="6"/>
  <c r="D78" i="6"/>
  <c r="Q79" i="7" l="1"/>
  <c r="I79" i="7"/>
  <c r="J79" i="7"/>
  <c r="M79" i="7"/>
  <c r="H79" i="7"/>
  <c r="O79" i="7"/>
  <c r="N79" i="7"/>
  <c r="K79" i="7"/>
  <c r="M78" i="6"/>
  <c r="J78" i="6"/>
  <c r="N78" i="6"/>
  <c r="K78" i="6"/>
  <c r="I78" i="6"/>
  <c r="G78" i="6"/>
</calcChain>
</file>

<file path=xl/sharedStrings.xml><?xml version="1.0" encoding="utf-8"?>
<sst xmlns="http://schemas.openxmlformats.org/spreadsheetml/2006/main" count="276" uniqueCount="110">
  <si>
    <t>Tool</t>
  </si>
  <si>
    <t>S.No</t>
  </si>
  <si>
    <t>Register Number</t>
  </si>
  <si>
    <t>CO</t>
  </si>
  <si>
    <t>Total</t>
  </si>
  <si>
    <t>CO2</t>
  </si>
  <si>
    <t>CO3</t>
  </si>
  <si>
    <t>CO4</t>
  </si>
  <si>
    <t>Q. No.</t>
  </si>
  <si>
    <t>Max. Marks</t>
  </si>
  <si>
    <t>No.Students Attempted</t>
  </si>
  <si>
    <t>Scores above 50%</t>
  </si>
  <si>
    <t>Attainment</t>
  </si>
  <si>
    <t>CO1</t>
  </si>
  <si>
    <t>academic Year :23-2027</t>
  </si>
  <si>
    <t>Subject Code &amp; Title: CCS372 &amp; Virtualization</t>
  </si>
  <si>
    <t>Semester: 06</t>
  </si>
  <si>
    <t>Course Instructor : Leelavathi.R</t>
  </si>
  <si>
    <t>INTERNAL ASSESMENT TEST 1</t>
  </si>
  <si>
    <t>Name of Students</t>
  </si>
  <si>
    <t>6a</t>
  </si>
  <si>
    <t>6b</t>
  </si>
  <si>
    <t>7a</t>
  </si>
  <si>
    <t>7b</t>
  </si>
  <si>
    <t>8a</t>
  </si>
  <si>
    <t>8b</t>
  </si>
  <si>
    <t>Aasaimani T</t>
  </si>
  <si>
    <t>Aathi S</t>
  </si>
  <si>
    <t>Abi P</t>
  </si>
  <si>
    <t>Abirami M</t>
  </si>
  <si>
    <t>Adhithya A</t>
  </si>
  <si>
    <t>Anandharaman M</t>
  </si>
  <si>
    <t>Arish S</t>
  </si>
  <si>
    <t>Arulirasan G</t>
  </si>
  <si>
    <t>Ashwin G</t>
  </si>
  <si>
    <t>Aswini V</t>
  </si>
  <si>
    <t>Dhanalakshmi R</t>
  </si>
  <si>
    <t>Dhanapriya P</t>
  </si>
  <si>
    <t>Divagaran M</t>
  </si>
  <si>
    <t>Divya R</t>
  </si>
  <si>
    <t>Divya S</t>
  </si>
  <si>
    <t>Gopi M</t>
  </si>
  <si>
    <t>Harish K</t>
  </si>
  <si>
    <t>Harisharan PS</t>
  </si>
  <si>
    <t>Hemalatha M</t>
  </si>
  <si>
    <t>Jagan S</t>
  </si>
  <si>
    <t>Janani J</t>
  </si>
  <si>
    <t>Jayanthi K</t>
  </si>
  <si>
    <t>Keerthana M</t>
  </si>
  <si>
    <t>Keerthana R</t>
  </si>
  <si>
    <t>Keerthivasan V</t>
  </si>
  <si>
    <t>Kowsalya B</t>
  </si>
  <si>
    <t>Lakshmi priya S K</t>
  </si>
  <si>
    <t>Loseya V</t>
  </si>
  <si>
    <t>Madhankumar R</t>
  </si>
  <si>
    <t>Madhumitha V</t>
  </si>
  <si>
    <t>Mahalakshmi S</t>
  </si>
  <si>
    <t>Mohanapriya S</t>
  </si>
  <si>
    <t>Monica U</t>
  </si>
  <si>
    <t>Nitheeswari S</t>
  </si>
  <si>
    <t>Nithya priya C</t>
  </si>
  <si>
    <t>Prasanth P</t>
  </si>
  <si>
    <t>Priyadharshan A</t>
  </si>
  <si>
    <t>Ragulgandhi K</t>
  </si>
  <si>
    <t>Raguram R</t>
  </si>
  <si>
    <t>Ramya N</t>
  </si>
  <si>
    <t>Reethika K</t>
  </si>
  <si>
    <t>Rithik K</t>
  </si>
  <si>
    <t>Sachin S</t>
  </si>
  <si>
    <t>Sagunthala K</t>
  </si>
  <si>
    <t>Sakthivel R</t>
  </si>
  <si>
    <t>Samuvel M</t>
  </si>
  <si>
    <t>Sandhiya L</t>
  </si>
  <si>
    <t>Sangeetha V</t>
  </si>
  <si>
    <t>Sankar ganesh J</t>
  </si>
  <si>
    <t>Santhaseelan R</t>
  </si>
  <si>
    <t>Santhosh R</t>
  </si>
  <si>
    <t>Sharmila B</t>
  </si>
  <si>
    <t>Sivapriya S</t>
  </si>
  <si>
    <t>Srimanoj C</t>
  </si>
  <si>
    <t>Srinivasan N</t>
  </si>
  <si>
    <t>Tamilselvan J</t>
  </si>
  <si>
    <t>Thamizhvani S</t>
  </si>
  <si>
    <t>Udhayachandhar H</t>
  </si>
  <si>
    <t>Ugendran R</t>
  </si>
  <si>
    <t>Vicknesh D</t>
  </si>
  <si>
    <t>Vimalraj R</t>
  </si>
  <si>
    <t>Yogibala V</t>
  </si>
  <si>
    <t>Somasundaram P</t>
  </si>
  <si>
    <t>Thiruneelakandan M</t>
  </si>
  <si>
    <t xml:space="preserve">   Class Strength:64</t>
  </si>
  <si>
    <t>Date : 06-02-2026</t>
  </si>
  <si>
    <t>INTERNAL ASSESMENT TEST II</t>
  </si>
  <si>
    <t>Date : 11-03-2026</t>
  </si>
  <si>
    <t>11a</t>
  </si>
  <si>
    <t>11b</t>
  </si>
  <si>
    <t>12a</t>
  </si>
  <si>
    <t>13a</t>
  </si>
  <si>
    <t>13bi</t>
  </si>
  <si>
    <t>13.B.II</t>
  </si>
  <si>
    <t>14a</t>
  </si>
  <si>
    <t>14bi</t>
  </si>
  <si>
    <t>14.B.2</t>
  </si>
  <si>
    <t>15a</t>
  </si>
  <si>
    <t>15b</t>
  </si>
  <si>
    <t>16a</t>
  </si>
  <si>
    <t>16b</t>
  </si>
  <si>
    <t xml:space="preserve">MODEL EXAMINATION </t>
  </si>
  <si>
    <t>12b</t>
  </si>
  <si>
    <t>14.B.3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</si>
</sst>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rgb="FF000000"/>
      <name val="Arial"/>
    </font>
    <font>
      <sz val="11"/>
      <color rgb="FF000000"/>
      <name val="Times New Roman"/>
    </font>
    <font>
      <sz val="10"/>
      <color rgb="FF000000"/>
      <name val="Times New Roman"/>
    </font>
    <font>
      <b/>
      <sz val="12"/>
      <name val="Times New Roman"/>
    </font>
    <font>
      <sz val="12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rgb="FF000000"/>
      <name val="Times New Roman"/>
    </font>
    <font>
      <sz val="12"/>
      <name val="Times New Roman"/>
    </font>
    <font>
      <b/>
      <sz val="11"/>
      <name val="Calibri"/>
    </font>
    <font>
      <sz val="11"/>
      <name val="Calibri"/>
    </font>
    <font>
      <b/>
      <sz val="9"/>
      <name val="Times New Roman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Arial"/>
      <family val="2"/>
    </font>
    <font>
      <sz val="11"/>
      <color rgb="FF000000"/>
      <name val="Times New Roman"/>
      <family val="1"/>
    </font>
    <font>
      <sz val="12"/>
      <color theme="1"/>
      <name val="Cambria"/>
      <family val="1"/>
    </font>
    <font>
      <sz val="10"/>
      <color rgb="FF000000"/>
      <name val="Cambria"/>
      <family val="1"/>
    </font>
    <font>
      <sz val="12"/>
      <color rgb="FF000000"/>
      <name val="Arial"/>
      <family val="2"/>
    </font>
    <font>
      <sz val="12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2DBDB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auto="1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 style="thick">
        <color rgb="FF000000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/>
    <xf numFmtId="0" fontId="3" fillId="0" borderId="3" xfId="0" applyFont="1" applyBorder="1"/>
    <xf numFmtId="0" fontId="8" fillId="0" borderId="3" xfId="0" applyFont="1" applyBorder="1"/>
    <xf numFmtId="1" fontId="4" fillId="0" borderId="0" xfId="0" applyNumberFormat="1" applyFont="1"/>
    <xf numFmtId="1" fontId="3" fillId="0" borderId="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0" fontId="5" fillId="0" borderId="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1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/>
    <xf numFmtId="0" fontId="2" fillId="0" borderId="4" xfId="0" applyFont="1" applyBorder="1"/>
    <xf numFmtId="1" fontId="8" fillId="0" borderId="4" xfId="0" applyNumberFormat="1" applyFont="1" applyBorder="1"/>
    <xf numFmtId="0" fontId="10" fillId="2" borderId="1" xfId="0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0" fontId="9" fillId="2" borderId="1" xfId="0" applyFont="1" applyFill="1" applyBorder="1"/>
    <xf numFmtId="0" fontId="12" fillId="0" borderId="18" xfId="0" applyFont="1" applyBorder="1" applyAlignment="1">
      <alignment horizontal="left" vertical="center"/>
    </xf>
    <xf numFmtId="0" fontId="8" fillId="0" borderId="19" xfId="0" applyFont="1" applyBorder="1"/>
    <xf numFmtId="1" fontId="8" fillId="0" borderId="19" xfId="0" applyNumberFormat="1" applyFont="1" applyBorder="1"/>
    <xf numFmtId="0" fontId="8" fillId="0" borderId="18" xfId="0" applyFont="1" applyBorder="1"/>
    <xf numFmtId="1" fontId="8" fillId="0" borderId="18" xfId="0" applyNumberFormat="1" applyFont="1" applyBorder="1"/>
    <xf numFmtId="1" fontId="4" fillId="0" borderId="18" xfId="0" applyNumberFormat="1" applyFont="1" applyBorder="1"/>
    <xf numFmtId="0" fontId="4" fillId="0" borderId="18" xfId="0" applyFont="1" applyBorder="1"/>
    <xf numFmtId="0" fontId="12" fillId="0" borderId="20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" fontId="14" fillId="0" borderId="4" xfId="0" applyNumberFormat="1" applyFont="1" applyBorder="1" applyAlignment="1">
      <alignment horizontal="center" vertical="center"/>
    </xf>
    <xf numFmtId="1" fontId="14" fillId="4" borderId="4" xfId="0" applyNumberFormat="1" applyFont="1" applyFill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0" fillId="0" borderId="1" xfId="0" applyBorder="1"/>
    <xf numFmtId="1" fontId="25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7" fillId="0" borderId="1" xfId="0" applyFont="1" applyBorder="1"/>
    <xf numFmtId="0" fontId="22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3AF45"/>
      <rgbColor rgb="FF9999FF"/>
      <rgbColor rgb="FF993366"/>
      <rgbColor rgb="FFEFEFEF"/>
      <rgbColor rgb="FFC5E0B3"/>
      <rgbColor rgb="FF660066"/>
      <rgbColor rgb="FFFF8080"/>
      <rgbColor rgb="FF0066CC"/>
      <rgbColor rgb="FFF2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209520</xdr:colOff>
      <xdr:row>2</xdr:row>
      <xdr:rowOff>10080</xdr:rowOff>
    </xdr:from>
    <xdr:to>
      <xdr:col>10</xdr:col>
      <xdr:colOff>830880</xdr:colOff>
      <xdr:row>6</xdr:row>
      <xdr:rowOff>104760</xdr:rowOff>
    </xdr:to>
    <xdr:sp macro="" textlink="">
      <xdr:nvSpPr>
        <xdr:cNvPr id="3" name="Object 2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546360" y="466560"/>
          <a:ext cx="6438600" cy="10188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8"/>
  <sheetViews>
    <sheetView topLeftCell="A65" zoomScale="85" zoomScaleNormal="85" workbookViewId="0">
      <selection activeCell="F84" sqref="F84"/>
    </sheetView>
  </sheetViews>
  <sheetFormatPr defaultColWidth="9.6328125" defaultRowHeight="15" customHeight="1" x14ac:dyDescent="0.25"/>
  <cols>
    <col min="1" max="1" width="4.453125" customWidth="1"/>
    <col min="2" max="2" width="14.453125" customWidth="1"/>
    <col min="3" max="3" width="20.453125" customWidth="1"/>
    <col min="4" max="4" width="10.1796875" customWidth="1"/>
    <col min="5" max="5" width="9.7265625" customWidth="1"/>
    <col min="6" max="6" width="10" customWidth="1"/>
    <col min="7" max="7" width="10.1796875" customWidth="1"/>
    <col min="8" max="8" width="9.90625" customWidth="1"/>
    <col min="9" max="9" width="9.1796875" customWidth="1"/>
    <col min="10" max="10" width="9.54296875" customWidth="1"/>
    <col min="11" max="11" width="10" customWidth="1"/>
    <col min="12" max="12" width="11.26953125" customWidth="1"/>
    <col min="13" max="13" width="10.453125" customWidth="1"/>
    <col min="14" max="14" width="9.1796875" customWidth="1"/>
    <col min="15" max="15" width="9.90625" customWidth="1"/>
    <col min="16" max="16" width="9.54296875" customWidth="1"/>
    <col min="17" max="17" width="12.453125" customWidth="1"/>
  </cols>
  <sheetData>
    <row r="1" spans="1:18" ht="17.7" customHeight="1" x14ac:dyDescent="0.25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</row>
    <row r="2" spans="1:18" ht="18.45" customHeight="1" x14ac:dyDescent="0.25">
      <c r="A2" s="1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spans="1:18" ht="16.649999999999999" customHeight="1" x14ac:dyDescent="0.25">
      <c r="A3" s="1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</row>
    <row r="4" spans="1:18" ht="19.350000000000001" customHeight="1" x14ac:dyDescent="0.25">
      <c r="A4" s="1"/>
      <c r="B4" s="2"/>
      <c r="C4" s="2"/>
      <c r="D4" s="2"/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</row>
    <row r="5" spans="1:18" ht="20.100000000000001" customHeight="1" x14ac:dyDescent="0.25">
      <c r="A5" s="59" t="s">
        <v>14</v>
      </c>
      <c r="B5" s="59"/>
      <c r="C5" s="59"/>
      <c r="D5" s="59"/>
      <c r="E5" s="60" t="s">
        <v>15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1"/>
      <c r="Q5" s="61"/>
      <c r="R5" s="61"/>
    </row>
    <row r="6" spans="1:18" ht="16.649999999999999" customHeight="1" x14ac:dyDescent="0.25">
      <c r="A6" s="62" t="s">
        <v>16</v>
      </c>
      <c r="B6" s="62"/>
      <c r="C6" s="62"/>
      <c r="D6" s="62"/>
      <c r="E6" s="63" t="s">
        <v>90</v>
      </c>
      <c r="F6" s="64"/>
      <c r="G6" s="64"/>
      <c r="H6" s="65" t="s">
        <v>91</v>
      </c>
      <c r="I6" s="66"/>
      <c r="J6" s="66"/>
      <c r="K6" s="67" t="s">
        <v>17</v>
      </c>
      <c r="L6" s="67"/>
      <c r="M6" s="67"/>
      <c r="N6" s="67"/>
      <c r="O6" s="67"/>
      <c r="P6" s="11"/>
      <c r="Q6" s="11"/>
      <c r="R6" s="12"/>
    </row>
    <row r="7" spans="1:18" ht="17.7" customHeight="1" x14ac:dyDescent="0.3">
      <c r="A7" s="54" t="s">
        <v>0</v>
      </c>
      <c r="B7" s="54"/>
      <c r="C7" s="54"/>
      <c r="D7" s="54"/>
      <c r="E7" s="55" t="s">
        <v>18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13"/>
      <c r="Q7" s="14"/>
      <c r="R7" s="15"/>
    </row>
    <row r="8" spans="1:18" ht="19.350000000000001" customHeight="1" x14ac:dyDescent="0.3">
      <c r="A8" s="57" t="s">
        <v>1</v>
      </c>
      <c r="B8" s="58" t="s">
        <v>2</v>
      </c>
      <c r="C8" s="16"/>
      <c r="D8" s="17" t="s">
        <v>3</v>
      </c>
      <c r="E8" s="18">
        <v>1</v>
      </c>
      <c r="F8" s="19">
        <v>1</v>
      </c>
      <c r="G8" s="19">
        <v>2</v>
      </c>
      <c r="H8" s="19">
        <v>2</v>
      </c>
      <c r="I8" s="19">
        <v>1</v>
      </c>
      <c r="J8" s="19">
        <v>1</v>
      </c>
      <c r="K8" s="19">
        <v>1</v>
      </c>
      <c r="L8" s="19">
        <v>1</v>
      </c>
      <c r="M8" s="19">
        <v>1</v>
      </c>
      <c r="N8" s="19">
        <v>1</v>
      </c>
      <c r="O8" s="19">
        <v>2</v>
      </c>
      <c r="P8" s="52" t="s">
        <v>4</v>
      </c>
      <c r="Q8" s="51" t="s">
        <v>13</v>
      </c>
      <c r="R8" s="51" t="s">
        <v>5</v>
      </c>
    </row>
    <row r="9" spans="1:18" ht="19.95" customHeight="1" x14ac:dyDescent="0.3">
      <c r="A9" s="57"/>
      <c r="B9" s="57"/>
      <c r="C9" s="6" t="s">
        <v>19</v>
      </c>
      <c r="D9" s="20" t="s">
        <v>8</v>
      </c>
      <c r="E9" s="21">
        <v>1</v>
      </c>
      <c r="F9" s="22">
        <v>2</v>
      </c>
      <c r="G9" s="22">
        <v>3</v>
      </c>
      <c r="H9" s="22">
        <v>4</v>
      </c>
      <c r="I9" s="22">
        <v>5</v>
      </c>
      <c r="J9" s="23" t="s">
        <v>20</v>
      </c>
      <c r="K9" s="23" t="s">
        <v>21</v>
      </c>
      <c r="L9" s="23" t="s">
        <v>22</v>
      </c>
      <c r="M9" s="23" t="s">
        <v>23</v>
      </c>
      <c r="N9" s="23" t="s">
        <v>24</v>
      </c>
      <c r="O9" s="23" t="s">
        <v>25</v>
      </c>
      <c r="P9" s="52"/>
      <c r="Q9" s="52"/>
      <c r="R9" s="52"/>
    </row>
    <row r="10" spans="1:18" ht="19.95" customHeight="1" thickTop="1" thickBot="1" x14ac:dyDescent="0.35">
      <c r="A10" s="57"/>
      <c r="B10" s="57"/>
      <c r="C10" s="7"/>
      <c r="D10" s="24" t="s">
        <v>9</v>
      </c>
      <c r="E10" s="25">
        <v>2</v>
      </c>
      <c r="F10" s="26">
        <v>2</v>
      </c>
      <c r="G10" s="26">
        <v>2</v>
      </c>
      <c r="H10" s="26">
        <v>2</v>
      </c>
      <c r="I10" s="26">
        <v>2</v>
      </c>
      <c r="J10" s="26">
        <v>13</v>
      </c>
      <c r="K10" s="26">
        <v>13</v>
      </c>
      <c r="L10" s="26">
        <v>13</v>
      </c>
      <c r="M10" s="26">
        <v>13</v>
      </c>
      <c r="N10" s="26">
        <v>14</v>
      </c>
      <c r="O10" s="26">
        <v>14</v>
      </c>
      <c r="P10" s="26">
        <v>50</v>
      </c>
      <c r="Q10" s="27">
        <v>32</v>
      </c>
      <c r="R10" s="27">
        <v>18</v>
      </c>
    </row>
    <row r="11" spans="1:18" ht="21" customHeight="1" thickTop="1" thickBot="1" x14ac:dyDescent="0.35">
      <c r="A11" s="43">
        <v>1</v>
      </c>
      <c r="B11" s="47">
        <v>511523205001</v>
      </c>
      <c r="C11" s="44" t="s">
        <v>26</v>
      </c>
      <c r="D11" s="2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50">
        <f>E11+F11+G11+H11+I11+J11+K11+L11+M11+N11+O11</f>
        <v>0</v>
      </c>
      <c r="Q11" s="9">
        <f>E11+F11+I11+J11+K11+L11+M11+N11</f>
        <v>0</v>
      </c>
      <c r="R11" s="9">
        <f>G11+H11+O11</f>
        <v>0</v>
      </c>
    </row>
    <row r="12" spans="1:18" ht="21.75" customHeight="1" thickTop="1" thickBot="1" x14ac:dyDescent="0.35">
      <c r="A12" s="43">
        <v>2</v>
      </c>
      <c r="B12" s="47">
        <v>511523205002</v>
      </c>
      <c r="C12" s="44" t="s">
        <v>27</v>
      </c>
      <c r="D12" s="28"/>
      <c r="E12" s="29">
        <v>1</v>
      </c>
      <c r="F12" s="29">
        <v>1</v>
      </c>
      <c r="G12" s="29">
        <v>1</v>
      </c>
      <c r="H12" s="29">
        <v>1</v>
      </c>
      <c r="I12" s="29">
        <v>2</v>
      </c>
      <c r="J12" s="29">
        <v>10</v>
      </c>
      <c r="K12" s="29"/>
      <c r="L12" s="29">
        <v>10</v>
      </c>
      <c r="M12" s="29"/>
      <c r="N12" s="29"/>
      <c r="O12" s="29"/>
      <c r="P12" s="50">
        <f t="shared" ref="P12:P74" si="0">E12+F12+G12+H12+I12+J12+K12+L12+M12+N12+O12</f>
        <v>26</v>
      </c>
      <c r="Q12" s="9">
        <f t="shared" ref="Q12:Q74" si="1">E12+F12+I12+J12+K12+L12+M12+N12</f>
        <v>24</v>
      </c>
      <c r="R12" s="9">
        <f t="shared" ref="R12:R74" si="2">G12+H12+O12</f>
        <v>2</v>
      </c>
    </row>
    <row r="13" spans="1:18" ht="19.5" customHeight="1" thickTop="1" thickBot="1" x14ac:dyDescent="0.35">
      <c r="A13" s="43">
        <v>3</v>
      </c>
      <c r="B13" s="47">
        <v>511523205003</v>
      </c>
      <c r="C13" s="44" t="s">
        <v>28</v>
      </c>
      <c r="D13" s="28"/>
      <c r="E13" s="29">
        <v>1</v>
      </c>
      <c r="F13" s="29">
        <v>1</v>
      </c>
      <c r="G13" s="29">
        <v>1</v>
      </c>
      <c r="H13" s="29">
        <v>1</v>
      </c>
      <c r="I13" s="29">
        <v>2</v>
      </c>
      <c r="J13" s="29"/>
      <c r="K13" s="29">
        <v>9</v>
      </c>
      <c r="L13" s="29"/>
      <c r="M13" s="29">
        <v>9</v>
      </c>
      <c r="N13" s="29"/>
      <c r="O13" s="29">
        <v>10</v>
      </c>
      <c r="P13" s="50">
        <f t="shared" si="0"/>
        <v>34</v>
      </c>
      <c r="Q13" s="9">
        <f t="shared" si="1"/>
        <v>22</v>
      </c>
      <c r="R13" s="9">
        <f t="shared" si="2"/>
        <v>12</v>
      </c>
    </row>
    <row r="14" spans="1:18" ht="24" customHeight="1" thickTop="1" thickBot="1" x14ac:dyDescent="0.35">
      <c r="A14" s="43">
        <v>4</v>
      </c>
      <c r="B14" s="47">
        <v>511523205004</v>
      </c>
      <c r="C14" s="44" t="s">
        <v>29</v>
      </c>
      <c r="D14" s="28"/>
      <c r="E14" s="29">
        <v>1</v>
      </c>
      <c r="F14" s="29">
        <v>2</v>
      </c>
      <c r="G14" s="29">
        <v>1</v>
      </c>
      <c r="H14" s="29">
        <v>1</v>
      </c>
      <c r="I14" s="29">
        <v>2</v>
      </c>
      <c r="J14" s="29"/>
      <c r="K14" s="29">
        <v>9</v>
      </c>
      <c r="L14" s="29"/>
      <c r="M14" s="29">
        <v>8</v>
      </c>
      <c r="N14" s="29">
        <v>9</v>
      </c>
      <c r="O14" s="29"/>
      <c r="P14" s="50">
        <f t="shared" si="0"/>
        <v>33</v>
      </c>
      <c r="Q14" s="9">
        <f t="shared" si="1"/>
        <v>31</v>
      </c>
      <c r="R14" s="9">
        <f t="shared" si="2"/>
        <v>2</v>
      </c>
    </row>
    <row r="15" spans="1:18" ht="24" customHeight="1" thickTop="1" thickBot="1" x14ac:dyDescent="0.35">
      <c r="A15" s="43">
        <v>5</v>
      </c>
      <c r="B15" s="47">
        <v>511523205005</v>
      </c>
      <c r="C15" s="44" t="s">
        <v>30</v>
      </c>
      <c r="D15" s="28"/>
      <c r="E15" s="29">
        <v>1</v>
      </c>
      <c r="F15" s="29">
        <v>1</v>
      </c>
      <c r="G15" s="29">
        <v>1</v>
      </c>
      <c r="H15" s="29">
        <v>2</v>
      </c>
      <c r="I15" s="29">
        <v>2</v>
      </c>
      <c r="J15" s="29"/>
      <c r="K15" s="29">
        <v>7</v>
      </c>
      <c r="L15" s="29"/>
      <c r="M15" s="29">
        <v>6</v>
      </c>
      <c r="N15" s="29">
        <v>6</v>
      </c>
      <c r="O15" s="29"/>
      <c r="P15" s="50">
        <f t="shared" si="0"/>
        <v>26</v>
      </c>
      <c r="Q15" s="9">
        <f t="shared" si="1"/>
        <v>23</v>
      </c>
      <c r="R15" s="9">
        <f t="shared" si="2"/>
        <v>3</v>
      </c>
    </row>
    <row r="16" spans="1:18" ht="21.75" customHeight="1" thickTop="1" thickBot="1" x14ac:dyDescent="0.35">
      <c r="A16" s="43">
        <v>6</v>
      </c>
      <c r="B16" s="47">
        <v>511523205006</v>
      </c>
      <c r="C16" s="44" t="s">
        <v>31</v>
      </c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50">
        <f t="shared" si="0"/>
        <v>0</v>
      </c>
      <c r="Q16" s="9">
        <f t="shared" si="1"/>
        <v>0</v>
      </c>
      <c r="R16" s="9">
        <f t="shared" si="2"/>
        <v>0</v>
      </c>
    </row>
    <row r="17" spans="1:18" ht="24.75" customHeight="1" thickTop="1" thickBot="1" x14ac:dyDescent="0.35">
      <c r="A17" s="43">
        <v>7</v>
      </c>
      <c r="B17" s="47">
        <v>511523205007</v>
      </c>
      <c r="C17" s="44" t="s">
        <v>32</v>
      </c>
      <c r="D17" s="28"/>
      <c r="E17" s="29">
        <v>1</v>
      </c>
      <c r="F17" s="29">
        <v>0</v>
      </c>
      <c r="G17" s="29"/>
      <c r="H17" s="29"/>
      <c r="I17" s="29">
        <v>1</v>
      </c>
      <c r="J17" s="29"/>
      <c r="K17" s="29">
        <v>9</v>
      </c>
      <c r="L17" s="29"/>
      <c r="M17" s="29"/>
      <c r="N17" s="29">
        <v>6</v>
      </c>
      <c r="O17" s="29"/>
      <c r="P17" s="50">
        <f t="shared" si="0"/>
        <v>17</v>
      </c>
      <c r="Q17" s="9">
        <f t="shared" si="1"/>
        <v>17</v>
      </c>
      <c r="R17" s="9">
        <f t="shared" si="2"/>
        <v>0</v>
      </c>
    </row>
    <row r="18" spans="1:18" ht="23.25" customHeight="1" thickTop="1" thickBot="1" x14ac:dyDescent="0.35">
      <c r="A18" s="43">
        <v>8</v>
      </c>
      <c r="B18" s="47">
        <v>511523205008</v>
      </c>
      <c r="C18" s="44" t="s">
        <v>33</v>
      </c>
      <c r="D18" s="28"/>
      <c r="E18" s="29"/>
      <c r="F18" s="29"/>
      <c r="G18" s="29"/>
      <c r="H18" s="29"/>
      <c r="I18" s="29"/>
      <c r="J18" s="29">
        <v>0</v>
      </c>
      <c r="K18" s="29"/>
      <c r="L18" s="29">
        <v>0</v>
      </c>
      <c r="M18" s="29"/>
      <c r="N18" s="29">
        <v>0</v>
      </c>
      <c r="O18" s="29"/>
      <c r="P18" s="50">
        <f t="shared" si="0"/>
        <v>0</v>
      </c>
      <c r="Q18" s="9">
        <f t="shared" si="1"/>
        <v>0</v>
      </c>
      <c r="R18" s="9">
        <f t="shared" si="2"/>
        <v>0</v>
      </c>
    </row>
    <row r="19" spans="1:18" ht="23.25" customHeight="1" thickTop="1" thickBot="1" x14ac:dyDescent="0.35">
      <c r="A19" s="43">
        <v>9</v>
      </c>
      <c r="B19" s="47">
        <v>511523205009</v>
      </c>
      <c r="C19" s="44" t="s">
        <v>34</v>
      </c>
      <c r="D19" s="28"/>
      <c r="E19" s="29">
        <v>1</v>
      </c>
      <c r="F19" s="29">
        <v>1</v>
      </c>
      <c r="G19" s="29">
        <v>1</v>
      </c>
      <c r="H19" s="29"/>
      <c r="I19" s="29"/>
      <c r="J19" s="29"/>
      <c r="K19" s="29">
        <v>4</v>
      </c>
      <c r="L19" s="29"/>
      <c r="M19" s="29"/>
      <c r="N19" s="29"/>
      <c r="O19" s="29"/>
      <c r="P19" s="50">
        <f t="shared" si="0"/>
        <v>7</v>
      </c>
      <c r="Q19" s="9">
        <f t="shared" si="1"/>
        <v>6</v>
      </c>
      <c r="R19" s="9">
        <f t="shared" si="2"/>
        <v>1</v>
      </c>
    </row>
    <row r="20" spans="1:18" ht="21" customHeight="1" thickTop="1" thickBot="1" x14ac:dyDescent="0.35">
      <c r="A20" s="43">
        <v>10</v>
      </c>
      <c r="B20" s="47">
        <v>511523205010</v>
      </c>
      <c r="C20" s="44" t="s">
        <v>35</v>
      </c>
      <c r="D20" s="28"/>
      <c r="E20" s="29">
        <v>1</v>
      </c>
      <c r="F20" s="29">
        <v>1</v>
      </c>
      <c r="G20" s="29">
        <v>1</v>
      </c>
      <c r="H20" s="29">
        <v>1</v>
      </c>
      <c r="I20" s="29">
        <v>2</v>
      </c>
      <c r="J20" s="29">
        <v>6</v>
      </c>
      <c r="K20" s="29"/>
      <c r="L20" s="29">
        <v>9</v>
      </c>
      <c r="M20" s="29"/>
      <c r="N20" s="29"/>
      <c r="O20" s="29">
        <v>10</v>
      </c>
      <c r="P20" s="50">
        <f t="shared" si="0"/>
        <v>31</v>
      </c>
      <c r="Q20" s="9">
        <f t="shared" si="1"/>
        <v>19</v>
      </c>
      <c r="R20" s="9">
        <f t="shared" si="2"/>
        <v>12</v>
      </c>
    </row>
    <row r="21" spans="1:18" ht="21" customHeight="1" thickTop="1" thickBot="1" x14ac:dyDescent="0.35">
      <c r="A21" s="43">
        <v>11</v>
      </c>
      <c r="B21" s="47">
        <v>511523205011</v>
      </c>
      <c r="C21" s="44" t="s">
        <v>36</v>
      </c>
      <c r="D21" s="28"/>
      <c r="E21" s="29">
        <v>1</v>
      </c>
      <c r="F21" s="29">
        <v>1</v>
      </c>
      <c r="G21" s="29">
        <v>1</v>
      </c>
      <c r="H21" s="29">
        <v>1</v>
      </c>
      <c r="I21" s="29">
        <v>2</v>
      </c>
      <c r="J21" s="29">
        <v>10</v>
      </c>
      <c r="K21" s="29"/>
      <c r="L21" s="29"/>
      <c r="M21" s="29">
        <v>9</v>
      </c>
      <c r="N21" s="29">
        <v>10</v>
      </c>
      <c r="O21" s="29"/>
      <c r="P21" s="50">
        <f t="shared" si="0"/>
        <v>35</v>
      </c>
      <c r="Q21" s="9">
        <f t="shared" si="1"/>
        <v>33</v>
      </c>
      <c r="R21" s="9">
        <f t="shared" si="2"/>
        <v>2</v>
      </c>
    </row>
    <row r="22" spans="1:18" ht="20.25" customHeight="1" thickTop="1" thickBot="1" x14ac:dyDescent="0.35">
      <c r="A22" s="43">
        <v>12</v>
      </c>
      <c r="B22" s="47">
        <v>511523205012</v>
      </c>
      <c r="C22" s="44" t="s">
        <v>37</v>
      </c>
      <c r="D22" s="28"/>
      <c r="E22" s="29">
        <v>1</v>
      </c>
      <c r="F22" s="29">
        <v>2</v>
      </c>
      <c r="G22" s="29">
        <v>1</v>
      </c>
      <c r="H22" s="29">
        <v>1</v>
      </c>
      <c r="I22" s="29">
        <v>2</v>
      </c>
      <c r="J22" s="29"/>
      <c r="K22" s="29">
        <v>9</v>
      </c>
      <c r="L22" s="29"/>
      <c r="M22" s="29">
        <v>7</v>
      </c>
      <c r="N22" s="29">
        <v>10</v>
      </c>
      <c r="O22" s="29"/>
      <c r="P22" s="50">
        <f t="shared" si="0"/>
        <v>33</v>
      </c>
      <c r="Q22" s="9">
        <f t="shared" si="1"/>
        <v>31</v>
      </c>
      <c r="R22" s="9">
        <f t="shared" si="2"/>
        <v>2</v>
      </c>
    </row>
    <row r="23" spans="1:18" ht="20.25" customHeight="1" thickTop="1" thickBot="1" x14ac:dyDescent="0.3">
      <c r="A23" s="43">
        <v>13</v>
      </c>
      <c r="B23" s="47">
        <v>511523205013</v>
      </c>
      <c r="C23" s="44" t="s">
        <v>38</v>
      </c>
      <c r="D23" s="28"/>
      <c r="E23" s="30">
        <v>2</v>
      </c>
      <c r="F23" s="30">
        <v>2</v>
      </c>
      <c r="G23" s="30">
        <v>2</v>
      </c>
      <c r="H23" s="30">
        <v>1</v>
      </c>
      <c r="I23" s="30">
        <v>2</v>
      </c>
      <c r="J23" s="30"/>
      <c r="K23" s="30">
        <v>10</v>
      </c>
      <c r="L23" s="30"/>
      <c r="M23" s="30">
        <v>7</v>
      </c>
      <c r="N23" s="30"/>
      <c r="O23" s="30"/>
      <c r="P23" s="50">
        <f t="shared" si="0"/>
        <v>26</v>
      </c>
      <c r="Q23" s="9">
        <f t="shared" si="1"/>
        <v>23</v>
      </c>
      <c r="R23" s="9">
        <f t="shared" si="2"/>
        <v>3</v>
      </c>
    </row>
    <row r="24" spans="1:18" ht="20.25" customHeight="1" thickTop="1" thickBot="1" x14ac:dyDescent="0.35">
      <c r="A24" s="43">
        <v>14</v>
      </c>
      <c r="B24" s="47">
        <v>511523205014</v>
      </c>
      <c r="C24" s="44" t="s">
        <v>39</v>
      </c>
      <c r="D24" s="28"/>
      <c r="E24" s="29">
        <v>1</v>
      </c>
      <c r="F24" s="29">
        <v>1</v>
      </c>
      <c r="G24" s="29">
        <v>1</v>
      </c>
      <c r="H24" s="29">
        <v>2</v>
      </c>
      <c r="I24" s="29">
        <v>2</v>
      </c>
      <c r="J24" s="29"/>
      <c r="K24" s="29">
        <v>9</v>
      </c>
      <c r="L24" s="29"/>
      <c r="M24" s="29">
        <v>9</v>
      </c>
      <c r="N24" s="29">
        <v>9</v>
      </c>
      <c r="O24" s="29"/>
      <c r="P24" s="50">
        <f t="shared" si="0"/>
        <v>34</v>
      </c>
      <c r="Q24" s="9">
        <f t="shared" si="1"/>
        <v>31</v>
      </c>
      <c r="R24" s="9">
        <f t="shared" si="2"/>
        <v>3</v>
      </c>
    </row>
    <row r="25" spans="1:18" ht="21" customHeight="1" thickTop="1" thickBot="1" x14ac:dyDescent="0.35">
      <c r="A25" s="43">
        <v>15</v>
      </c>
      <c r="B25" s="47">
        <v>511523205015</v>
      </c>
      <c r="C25" s="44" t="s">
        <v>40</v>
      </c>
      <c r="D25" s="28"/>
      <c r="E25" s="29">
        <v>1</v>
      </c>
      <c r="F25" s="29">
        <v>1</v>
      </c>
      <c r="G25" s="29">
        <v>1</v>
      </c>
      <c r="H25" s="29">
        <v>1</v>
      </c>
      <c r="I25" s="29">
        <v>2</v>
      </c>
      <c r="J25" s="29"/>
      <c r="K25" s="29">
        <v>10</v>
      </c>
      <c r="L25" s="29"/>
      <c r="M25" s="29">
        <v>10</v>
      </c>
      <c r="N25" s="29">
        <v>10</v>
      </c>
      <c r="O25" s="29"/>
      <c r="P25" s="50">
        <f t="shared" si="0"/>
        <v>36</v>
      </c>
      <c r="Q25" s="9">
        <f t="shared" si="1"/>
        <v>34</v>
      </c>
      <c r="R25" s="9">
        <f t="shared" si="2"/>
        <v>2</v>
      </c>
    </row>
    <row r="26" spans="1:18" ht="21" customHeight="1" thickTop="1" thickBot="1" x14ac:dyDescent="0.35">
      <c r="A26" s="43">
        <v>16</v>
      </c>
      <c r="B26" s="47">
        <v>511523205016</v>
      </c>
      <c r="C26" s="44" t="s">
        <v>41</v>
      </c>
      <c r="D26" s="28"/>
      <c r="E26" s="29">
        <v>1</v>
      </c>
      <c r="F26" s="29">
        <v>1</v>
      </c>
      <c r="G26" s="29">
        <v>1</v>
      </c>
      <c r="H26" s="29">
        <v>1</v>
      </c>
      <c r="I26" s="29">
        <v>2</v>
      </c>
      <c r="J26" s="29"/>
      <c r="K26" s="29">
        <v>10</v>
      </c>
      <c r="L26" s="29">
        <v>4</v>
      </c>
      <c r="M26" s="29"/>
      <c r="N26" s="29"/>
      <c r="O26" s="29">
        <v>10</v>
      </c>
      <c r="P26" s="50">
        <f t="shared" si="0"/>
        <v>30</v>
      </c>
      <c r="Q26" s="9">
        <f t="shared" si="1"/>
        <v>18</v>
      </c>
      <c r="R26" s="9">
        <f t="shared" si="2"/>
        <v>12</v>
      </c>
    </row>
    <row r="27" spans="1:18" ht="21" customHeight="1" thickTop="1" thickBot="1" x14ac:dyDescent="0.35">
      <c r="A27" s="43">
        <v>17</v>
      </c>
      <c r="B27" s="47">
        <v>511523205017</v>
      </c>
      <c r="C27" s="44" t="s">
        <v>42</v>
      </c>
      <c r="D27" s="28"/>
      <c r="E27" s="29">
        <v>1</v>
      </c>
      <c r="F27" s="29">
        <v>1</v>
      </c>
      <c r="G27" s="29">
        <v>1</v>
      </c>
      <c r="H27" s="29">
        <v>1</v>
      </c>
      <c r="I27" s="29">
        <v>2</v>
      </c>
      <c r="J27" s="29"/>
      <c r="K27" s="29">
        <v>8</v>
      </c>
      <c r="L27" s="29">
        <v>7</v>
      </c>
      <c r="M27" s="29"/>
      <c r="N27" s="29">
        <v>6</v>
      </c>
      <c r="O27" s="29"/>
      <c r="P27" s="50">
        <f t="shared" si="0"/>
        <v>27</v>
      </c>
      <c r="Q27" s="9">
        <f t="shared" si="1"/>
        <v>25</v>
      </c>
      <c r="R27" s="9">
        <f t="shared" si="2"/>
        <v>2</v>
      </c>
    </row>
    <row r="28" spans="1:18" ht="21" customHeight="1" thickTop="1" thickBot="1" x14ac:dyDescent="0.35">
      <c r="A28" s="43">
        <v>18</v>
      </c>
      <c r="B28" s="48">
        <v>511523205018</v>
      </c>
      <c r="C28" s="45" t="s">
        <v>43</v>
      </c>
      <c r="D28" s="28"/>
      <c r="E28" s="29">
        <v>2</v>
      </c>
      <c r="F28" s="29">
        <v>1</v>
      </c>
      <c r="G28" s="29">
        <v>2</v>
      </c>
      <c r="H28" s="29">
        <v>1</v>
      </c>
      <c r="I28" s="29">
        <v>2</v>
      </c>
      <c r="J28" s="29">
        <v>10</v>
      </c>
      <c r="K28" s="29"/>
      <c r="L28" s="29">
        <v>6</v>
      </c>
      <c r="M28" s="29"/>
      <c r="N28" s="29">
        <v>9</v>
      </c>
      <c r="O28" s="29"/>
      <c r="P28" s="50">
        <f t="shared" si="0"/>
        <v>33</v>
      </c>
      <c r="Q28" s="9">
        <f t="shared" si="1"/>
        <v>30</v>
      </c>
      <c r="R28" s="9">
        <f t="shared" si="2"/>
        <v>3</v>
      </c>
    </row>
    <row r="29" spans="1:18" ht="21" customHeight="1" thickTop="1" thickBot="1" x14ac:dyDescent="0.35">
      <c r="A29" s="43">
        <v>19</v>
      </c>
      <c r="B29" s="47">
        <v>511523205019</v>
      </c>
      <c r="C29" s="44" t="s">
        <v>44</v>
      </c>
      <c r="D29" s="28"/>
      <c r="E29" s="29">
        <v>1</v>
      </c>
      <c r="F29" s="29">
        <v>1</v>
      </c>
      <c r="G29" s="29">
        <v>0</v>
      </c>
      <c r="H29" s="29">
        <v>0</v>
      </c>
      <c r="I29" s="29">
        <v>1</v>
      </c>
      <c r="J29" s="29"/>
      <c r="K29" s="29">
        <v>10</v>
      </c>
      <c r="L29" s="29"/>
      <c r="M29" s="29">
        <v>10</v>
      </c>
      <c r="N29" s="29"/>
      <c r="O29" s="29">
        <v>9</v>
      </c>
      <c r="P29" s="50">
        <f t="shared" si="0"/>
        <v>32</v>
      </c>
      <c r="Q29" s="9">
        <f t="shared" si="1"/>
        <v>23</v>
      </c>
      <c r="R29" s="9">
        <f t="shared" si="2"/>
        <v>9</v>
      </c>
    </row>
    <row r="30" spans="1:18" ht="21" customHeight="1" thickTop="1" thickBot="1" x14ac:dyDescent="0.35">
      <c r="A30" s="43">
        <v>20</v>
      </c>
      <c r="B30" s="47">
        <v>511523205020</v>
      </c>
      <c r="C30" s="44" t="s">
        <v>45</v>
      </c>
      <c r="D30" s="28"/>
      <c r="E30" s="29">
        <v>1</v>
      </c>
      <c r="F30" s="29">
        <v>1</v>
      </c>
      <c r="G30" s="29">
        <v>1</v>
      </c>
      <c r="H30" s="29">
        <v>1</v>
      </c>
      <c r="I30" s="29">
        <v>2</v>
      </c>
      <c r="J30" s="29">
        <v>10</v>
      </c>
      <c r="K30" s="29"/>
      <c r="L30" s="29"/>
      <c r="M30" s="29">
        <v>3</v>
      </c>
      <c r="N30" s="29">
        <v>10</v>
      </c>
      <c r="O30" s="29"/>
      <c r="P30" s="50">
        <f t="shared" si="0"/>
        <v>29</v>
      </c>
      <c r="Q30" s="9">
        <f t="shared" si="1"/>
        <v>27</v>
      </c>
      <c r="R30" s="9">
        <f t="shared" si="2"/>
        <v>2</v>
      </c>
    </row>
    <row r="31" spans="1:18" ht="21" customHeight="1" thickTop="1" thickBot="1" x14ac:dyDescent="0.3">
      <c r="A31" s="43">
        <v>21</v>
      </c>
      <c r="B31" s="47">
        <v>511523205021</v>
      </c>
      <c r="C31" s="44" t="s">
        <v>46</v>
      </c>
      <c r="D31" s="28"/>
      <c r="E31" s="30">
        <v>2</v>
      </c>
      <c r="F31" s="30">
        <v>2</v>
      </c>
      <c r="G31" s="30">
        <v>2</v>
      </c>
      <c r="H31" s="30">
        <v>1</v>
      </c>
      <c r="I31" s="30">
        <v>2</v>
      </c>
      <c r="J31" s="30">
        <v>10</v>
      </c>
      <c r="K31" s="30"/>
      <c r="L31" s="30">
        <v>10</v>
      </c>
      <c r="M31" s="30"/>
      <c r="N31" s="30"/>
      <c r="O31" s="30">
        <v>10</v>
      </c>
      <c r="P31" s="50">
        <f t="shared" si="0"/>
        <v>39</v>
      </c>
      <c r="Q31" s="9">
        <f t="shared" si="1"/>
        <v>26</v>
      </c>
      <c r="R31" s="9">
        <f t="shared" si="2"/>
        <v>13</v>
      </c>
    </row>
    <row r="32" spans="1:18" ht="21" customHeight="1" thickTop="1" thickBot="1" x14ac:dyDescent="0.35">
      <c r="A32" s="43">
        <v>22</v>
      </c>
      <c r="B32" s="47">
        <v>511523205023</v>
      </c>
      <c r="C32" s="44" t="s">
        <v>47</v>
      </c>
      <c r="D32" s="28"/>
      <c r="E32" s="29">
        <v>1</v>
      </c>
      <c r="F32" s="29">
        <v>1</v>
      </c>
      <c r="G32" s="29">
        <v>1</v>
      </c>
      <c r="H32" s="29">
        <v>1</v>
      </c>
      <c r="I32" s="29">
        <v>2</v>
      </c>
      <c r="J32" s="29"/>
      <c r="K32" s="29">
        <v>10</v>
      </c>
      <c r="L32" s="29"/>
      <c r="M32" s="29">
        <v>10</v>
      </c>
      <c r="N32" s="29"/>
      <c r="O32" s="29">
        <v>9</v>
      </c>
      <c r="P32" s="50">
        <f t="shared" si="0"/>
        <v>35</v>
      </c>
      <c r="Q32" s="9">
        <f t="shared" si="1"/>
        <v>24</v>
      </c>
      <c r="R32" s="9">
        <f t="shared" si="2"/>
        <v>11</v>
      </c>
    </row>
    <row r="33" spans="1:18" ht="21" customHeight="1" thickTop="1" thickBot="1" x14ac:dyDescent="0.35">
      <c r="A33" s="43">
        <v>23</v>
      </c>
      <c r="B33" s="47">
        <v>511523205025</v>
      </c>
      <c r="C33" s="44" t="s">
        <v>48</v>
      </c>
      <c r="D33" s="28"/>
      <c r="E33" s="29">
        <v>1</v>
      </c>
      <c r="F33" s="29">
        <v>1</v>
      </c>
      <c r="G33" s="29">
        <v>1</v>
      </c>
      <c r="H33" s="29">
        <v>1</v>
      </c>
      <c r="I33" s="29">
        <v>2</v>
      </c>
      <c r="J33" s="29"/>
      <c r="K33" s="29">
        <v>10</v>
      </c>
      <c r="L33" s="29">
        <v>4</v>
      </c>
      <c r="M33" s="29"/>
      <c r="N33" s="29">
        <v>10</v>
      </c>
      <c r="O33" s="29"/>
      <c r="P33" s="50">
        <f t="shared" si="0"/>
        <v>30</v>
      </c>
      <c r="Q33" s="9">
        <f t="shared" si="1"/>
        <v>28</v>
      </c>
      <c r="R33" s="9">
        <f t="shared" si="2"/>
        <v>2</v>
      </c>
    </row>
    <row r="34" spans="1:18" ht="21" customHeight="1" thickTop="1" thickBot="1" x14ac:dyDescent="0.35">
      <c r="A34" s="43">
        <v>24</v>
      </c>
      <c r="B34" s="47">
        <v>511523205026</v>
      </c>
      <c r="C34" s="44" t="s">
        <v>49</v>
      </c>
      <c r="D34" s="28"/>
      <c r="E34" s="29">
        <v>1</v>
      </c>
      <c r="F34" s="29">
        <v>0</v>
      </c>
      <c r="G34" s="29">
        <v>2</v>
      </c>
      <c r="H34" s="29">
        <v>0</v>
      </c>
      <c r="I34" s="29">
        <v>2</v>
      </c>
      <c r="J34" s="29"/>
      <c r="K34" s="29">
        <v>10</v>
      </c>
      <c r="L34" s="29"/>
      <c r="M34" s="29"/>
      <c r="N34" s="29"/>
      <c r="O34" s="29">
        <v>10</v>
      </c>
      <c r="P34" s="50">
        <f t="shared" si="0"/>
        <v>25</v>
      </c>
      <c r="Q34" s="9">
        <f t="shared" si="1"/>
        <v>13</v>
      </c>
      <c r="R34" s="9">
        <f t="shared" si="2"/>
        <v>12</v>
      </c>
    </row>
    <row r="35" spans="1:18" ht="21" customHeight="1" thickTop="1" thickBot="1" x14ac:dyDescent="0.35">
      <c r="A35" s="43">
        <v>25</v>
      </c>
      <c r="B35" s="47">
        <v>511523205027</v>
      </c>
      <c r="C35" s="44" t="s">
        <v>50</v>
      </c>
      <c r="D35" s="28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50">
        <f t="shared" si="0"/>
        <v>0</v>
      </c>
      <c r="Q35" s="9">
        <f t="shared" si="1"/>
        <v>0</v>
      </c>
      <c r="R35" s="9">
        <f t="shared" si="2"/>
        <v>0</v>
      </c>
    </row>
    <row r="36" spans="1:18" ht="21" customHeight="1" thickTop="1" thickBot="1" x14ac:dyDescent="0.35">
      <c r="A36" s="43">
        <v>26</v>
      </c>
      <c r="B36" s="47">
        <v>511523205028</v>
      </c>
      <c r="C36" s="44" t="s">
        <v>51</v>
      </c>
      <c r="D36" s="28"/>
      <c r="E36" s="29">
        <v>1</v>
      </c>
      <c r="F36" s="29">
        <v>1</v>
      </c>
      <c r="G36" s="29">
        <v>1</v>
      </c>
      <c r="H36" s="29">
        <v>1</v>
      </c>
      <c r="I36" s="29">
        <v>2</v>
      </c>
      <c r="J36" s="29"/>
      <c r="K36" s="29">
        <v>10</v>
      </c>
      <c r="L36" s="29"/>
      <c r="M36" s="29">
        <v>7</v>
      </c>
      <c r="N36" s="29">
        <v>10</v>
      </c>
      <c r="O36" s="29"/>
      <c r="P36" s="50">
        <f t="shared" si="0"/>
        <v>33</v>
      </c>
      <c r="Q36" s="9">
        <f t="shared" si="1"/>
        <v>31</v>
      </c>
      <c r="R36" s="9">
        <f t="shared" si="2"/>
        <v>2</v>
      </c>
    </row>
    <row r="37" spans="1:18" ht="21" customHeight="1" thickTop="1" thickBot="1" x14ac:dyDescent="0.35">
      <c r="A37" s="43">
        <v>27</v>
      </c>
      <c r="B37" s="47">
        <v>511523205029</v>
      </c>
      <c r="C37" s="44" t="s">
        <v>52</v>
      </c>
      <c r="D37" s="28"/>
      <c r="E37" s="29">
        <v>1</v>
      </c>
      <c r="F37" s="29">
        <v>2</v>
      </c>
      <c r="G37" s="29">
        <v>1</v>
      </c>
      <c r="H37" s="29">
        <v>1</v>
      </c>
      <c r="I37" s="29">
        <v>2</v>
      </c>
      <c r="J37" s="29"/>
      <c r="K37" s="29">
        <v>10</v>
      </c>
      <c r="L37" s="29"/>
      <c r="M37" s="29">
        <v>9</v>
      </c>
      <c r="N37" s="29"/>
      <c r="O37" s="29">
        <v>9</v>
      </c>
      <c r="P37" s="50">
        <f t="shared" si="0"/>
        <v>35</v>
      </c>
      <c r="Q37" s="9">
        <f t="shared" si="1"/>
        <v>24</v>
      </c>
      <c r="R37" s="9">
        <f t="shared" si="2"/>
        <v>11</v>
      </c>
    </row>
    <row r="38" spans="1:18" ht="21" customHeight="1" thickTop="1" thickBot="1" x14ac:dyDescent="0.35">
      <c r="A38" s="43">
        <v>28</v>
      </c>
      <c r="B38" s="47">
        <v>511523205030</v>
      </c>
      <c r="C38" s="44" t="s">
        <v>53</v>
      </c>
      <c r="D38" s="28"/>
      <c r="E38" s="29">
        <v>1</v>
      </c>
      <c r="F38" s="29">
        <v>1</v>
      </c>
      <c r="G38" s="29">
        <v>1</v>
      </c>
      <c r="H38" s="29">
        <v>1</v>
      </c>
      <c r="I38" s="29">
        <v>1</v>
      </c>
      <c r="J38" s="29"/>
      <c r="K38" s="29">
        <v>9</v>
      </c>
      <c r="L38" s="29">
        <v>10</v>
      </c>
      <c r="M38" s="29"/>
      <c r="N38" s="29">
        <v>8</v>
      </c>
      <c r="O38" s="29"/>
      <c r="P38" s="50">
        <f t="shared" si="0"/>
        <v>32</v>
      </c>
      <c r="Q38" s="9">
        <f t="shared" si="1"/>
        <v>30</v>
      </c>
      <c r="R38" s="9">
        <f t="shared" si="2"/>
        <v>2</v>
      </c>
    </row>
    <row r="39" spans="1:18" ht="21" customHeight="1" thickTop="1" thickBot="1" x14ac:dyDescent="0.35">
      <c r="A39" s="43">
        <v>29</v>
      </c>
      <c r="B39" s="47">
        <v>511523205031</v>
      </c>
      <c r="C39" s="44" t="s">
        <v>54</v>
      </c>
      <c r="D39" s="28"/>
      <c r="E39" s="29">
        <v>0</v>
      </c>
      <c r="F39" s="29">
        <v>0</v>
      </c>
      <c r="G39" s="29">
        <v>0</v>
      </c>
      <c r="H39" s="29">
        <v>1</v>
      </c>
      <c r="I39" s="29">
        <v>1</v>
      </c>
      <c r="J39" s="29"/>
      <c r="K39" s="29">
        <v>8</v>
      </c>
      <c r="L39" s="29">
        <v>2</v>
      </c>
      <c r="M39" s="29"/>
      <c r="N39" s="29">
        <v>8</v>
      </c>
      <c r="O39" s="29"/>
      <c r="P39" s="50">
        <f t="shared" si="0"/>
        <v>20</v>
      </c>
      <c r="Q39" s="9">
        <f t="shared" si="1"/>
        <v>19</v>
      </c>
      <c r="R39" s="9">
        <f t="shared" si="2"/>
        <v>1</v>
      </c>
    </row>
    <row r="40" spans="1:18" ht="21" customHeight="1" thickTop="1" thickBot="1" x14ac:dyDescent="0.35">
      <c r="A40" s="43">
        <v>30</v>
      </c>
      <c r="B40" s="47">
        <v>511523205032</v>
      </c>
      <c r="C40" s="44" t="s">
        <v>55</v>
      </c>
      <c r="D40" s="28"/>
      <c r="E40" s="29">
        <v>2</v>
      </c>
      <c r="F40" s="29">
        <v>1</v>
      </c>
      <c r="G40" s="29">
        <v>1</v>
      </c>
      <c r="H40" s="29"/>
      <c r="I40" s="29"/>
      <c r="J40" s="29"/>
      <c r="K40" s="29">
        <v>10</v>
      </c>
      <c r="L40" s="29">
        <v>4</v>
      </c>
      <c r="M40" s="29"/>
      <c r="N40" s="29">
        <v>10</v>
      </c>
      <c r="O40" s="29"/>
      <c r="P40" s="50">
        <f t="shared" si="0"/>
        <v>28</v>
      </c>
      <c r="Q40" s="9">
        <f t="shared" si="1"/>
        <v>27</v>
      </c>
      <c r="R40" s="9">
        <f t="shared" si="2"/>
        <v>1</v>
      </c>
    </row>
    <row r="41" spans="1:18" ht="21" customHeight="1" thickTop="1" thickBot="1" x14ac:dyDescent="0.35">
      <c r="A41" s="43">
        <v>31</v>
      </c>
      <c r="B41" s="47">
        <v>511523205033</v>
      </c>
      <c r="C41" s="44" t="s">
        <v>56</v>
      </c>
      <c r="D41" s="28"/>
      <c r="E41" s="29">
        <v>1</v>
      </c>
      <c r="F41" s="29">
        <v>1</v>
      </c>
      <c r="G41" s="29">
        <v>1</v>
      </c>
      <c r="H41" s="29">
        <v>1</v>
      </c>
      <c r="I41" s="29">
        <v>2</v>
      </c>
      <c r="J41" s="29"/>
      <c r="K41" s="29">
        <v>10</v>
      </c>
      <c r="L41" s="29"/>
      <c r="M41" s="29">
        <v>10</v>
      </c>
      <c r="N41" s="29"/>
      <c r="O41" s="29">
        <v>10</v>
      </c>
      <c r="P41" s="50">
        <f t="shared" si="0"/>
        <v>36</v>
      </c>
      <c r="Q41" s="9">
        <f t="shared" si="1"/>
        <v>24</v>
      </c>
      <c r="R41" s="9">
        <f t="shared" si="2"/>
        <v>12</v>
      </c>
    </row>
    <row r="42" spans="1:18" ht="21" customHeight="1" thickTop="1" thickBot="1" x14ac:dyDescent="0.35">
      <c r="A42" s="43">
        <v>32</v>
      </c>
      <c r="B42" s="47">
        <v>511523205034</v>
      </c>
      <c r="C42" s="44" t="s">
        <v>57</v>
      </c>
      <c r="D42" s="28"/>
      <c r="E42" s="29">
        <v>1</v>
      </c>
      <c r="F42" s="29">
        <v>1</v>
      </c>
      <c r="G42" s="29">
        <v>2</v>
      </c>
      <c r="H42" s="29">
        <v>1</v>
      </c>
      <c r="I42" s="29">
        <v>2</v>
      </c>
      <c r="J42" s="29">
        <v>10</v>
      </c>
      <c r="K42" s="29"/>
      <c r="L42" s="29">
        <v>10</v>
      </c>
      <c r="M42" s="29"/>
      <c r="N42" s="29">
        <v>10</v>
      </c>
      <c r="O42" s="29"/>
      <c r="P42" s="50">
        <f t="shared" si="0"/>
        <v>37</v>
      </c>
      <c r="Q42" s="9">
        <f t="shared" si="1"/>
        <v>34</v>
      </c>
      <c r="R42" s="9">
        <f t="shared" si="2"/>
        <v>3</v>
      </c>
    </row>
    <row r="43" spans="1:18" ht="21" customHeight="1" thickTop="1" thickBot="1" x14ac:dyDescent="0.35">
      <c r="A43" s="43">
        <v>33</v>
      </c>
      <c r="B43" s="47">
        <v>511523205035</v>
      </c>
      <c r="C43" s="44" t="s">
        <v>58</v>
      </c>
      <c r="D43" s="28"/>
      <c r="E43" s="29"/>
      <c r="F43" s="29"/>
      <c r="G43" s="29"/>
      <c r="H43" s="29"/>
      <c r="I43" s="29">
        <v>2</v>
      </c>
      <c r="J43" s="29"/>
      <c r="K43" s="29">
        <v>10</v>
      </c>
      <c r="L43" s="29"/>
      <c r="M43" s="29"/>
      <c r="N43" s="29">
        <v>4</v>
      </c>
      <c r="O43" s="29"/>
      <c r="P43" s="50">
        <f t="shared" si="0"/>
        <v>16</v>
      </c>
      <c r="Q43" s="9">
        <f t="shared" si="1"/>
        <v>16</v>
      </c>
      <c r="R43" s="9">
        <f t="shared" si="2"/>
        <v>0</v>
      </c>
    </row>
    <row r="44" spans="1:18" ht="21" customHeight="1" thickTop="1" thickBot="1" x14ac:dyDescent="0.35">
      <c r="A44" s="43">
        <v>34</v>
      </c>
      <c r="B44" s="47">
        <v>511523205036</v>
      </c>
      <c r="C44" s="44" t="s">
        <v>59</v>
      </c>
      <c r="D44" s="28"/>
      <c r="E44" s="29">
        <v>1</v>
      </c>
      <c r="F44" s="29"/>
      <c r="G44" s="29"/>
      <c r="H44" s="29"/>
      <c r="I44" s="29">
        <v>1</v>
      </c>
      <c r="J44" s="29"/>
      <c r="K44" s="29">
        <v>10</v>
      </c>
      <c r="L44" s="29"/>
      <c r="M44" s="29">
        <v>4</v>
      </c>
      <c r="N44" s="29">
        <v>9</v>
      </c>
      <c r="O44" s="29"/>
      <c r="P44" s="50">
        <f t="shared" si="0"/>
        <v>25</v>
      </c>
      <c r="Q44" s="9">
        <f t="shared" si="1"/>
        <v>25</v>
      </c>
      <c r="R44" s="9">
        <f t="shared" si="2"/>
        <v>0</v>
      </c>
    </row>
    <row r="45" spans="1:18" ht="21" customHeight="1" thickTop="1" thickBot="1" x14ac:dyDescent="0.35">
      <c r="A45" s="43">
        <v>35</v>
      </c>
      <c r="B45" s="47">
        <v>511523205037</v>
      </c>
      <c r="C45" s="44" t="s">
        <v>60</v>
      </c>
      <c r="D45" s="28"/>
      <c r="E45" s="29"/>
      <c r="F45" s="29">
        <v>1</v>
      </c>
      <c r="G45" s="29"/>
      <c r="H45" s="29"/>
      <c r="I45" s="29">
        <v>1</v>
      </c>
      <c r="J45" s="29"/>
      <c r="K45" s="29">
        <v>8</v>
      </c>
      <c r="L45" s="29"/>
      <c r="M45" s="29">
        <v>10</v>
      </c>
      <c r="N45" s="29"/>
      <c r="O45" s="29">
        <v>9</v>
      </c>
      <c r="P45" s="50">
        <f t="shared" si="0"/>
        <v>29</v>
      </c>
      <c r="Q45" s="9">
        <f t="shared" si="1"/>
        <v>20</v>
      </c>
      <c r="R45" s="9">
        <f t="shared" si="2"/>
        <v>9</v>
      </c>
    </row>
    <row r="46" spans="1:18" ht="21" customHeight="1" thickTop="1" thickBot="1" x14ac:dyDescent="0.3">
      <c r="A46" s="43">
        <v>36</v>
      </c>
      <c r="B46" s="47">
        <v>511523205038</v>
      </c>
      <c r="C46" s="44" t="s">
        <v>61</v>
      </c>
      <c r="D46" s="28"/>
      <c r="E46" s="30">
        <v>2</v>
      </c>
      <c r="F46" s="30">
        <v>1</v>
      </c>
      <c r="G46" s="30">
        <v>1</v>
      </c>
      <c r="H46" s="30">
        <v>1</v>
      </c>
      <c r="I46" s="30">
        <v>2</v>
      </c>
      <c r="J46" s="30">
        <v>10</v>
      </c>
      <c r="K46" s="30"/>
      <c r="L46" s="30"/>
      <c r="M46" s="30">
        <v>10</v>
      </c>
      <c r="N46" s="30">
        <v>10</v>
      </c>
      <c r="O46" s="30"/>
      <c r="P46" s="50">
        <f t="shared" si="0"/>
        <v>37</v>
      </c>
      <c r="Q46" s="9">
        <f t="shared" si="1"/>
        <v>35</v>
      </c>
      <c r="R46" s="9">
        <f t="shared" si="2"/>
        <v>2</v>
      </c>
    </row>
    <row r="47" spans="1:18" ht="21" customHeight="1" thickTop="1" thickBot="1" x14ac:dyDescent="0.35">
      <c r="A47" s="43">
        <v>37</v>
      </c>
      <c r="B47" s="47">
        <v>511523205039</v>
      </c>
      <c r="C47" s="44" t="s">
        <v>62</v>
      </c>
      <c r="D47" s="28"/>
      <c r="E47" s="29">
        <v>1</v>
      </c>
      <c r="F47" s="29">
        <v>1</v>
      </c>
      <c r="G47" s="29">
        <v>1</v>
      </c>
      <c r="H47" s="29">
        <v>1</v>
      </c>
      <c r="I47" s="29">
        <v>2</v>
      </c>
      <c r="J47" s="29">
        <v>10</v>
      </c>
      <c r="K47" s="29"/>
      <c r="L47" s="29"/>
      <c r="M47" s="29">
        <v>10</v>
      </c>
      <c r="N47" s="29">
        <v>9</v>
      </c>
      <c r="O47" s="29"/>
      <c r="P47" s="50">
        <f t="shared" si="0"/>
        <v>35</v>
      </c>
      <c r="Q47" s="9">
        <f t="shared" si="1"/>
        <v>33</v>
      </c>
      <c r="R47" s="9">
        <f t="shared" si="2"/>
        <v>2</v>
      </c>
    </row>
    <row r="48" spans="1:18" ht="21" customHeight="1" thickTop="1" thickBot="1" x14ac:dyDescent="0.3">
      <c r="A48" s="43">
        <v>38</v>
      </c>
      <c r="B48" s="47">
        <v>511523205040</v>
      </c>
      <c r="C48" s="44" t="s">
        <v>63</v>
      </c>
      <c r="D48" s="28"/>
      <c r="E48" s="30">
        <v>1</v>
      </c>
      <c r="F48" s="30">
        <v>1</v>
      </c>
      <c r="G48" s="30">
        <v>1</v>
      </c>
      <c r="H48" s="30">
        <v>1</v>
      </c>
      <c r="I48" s="30">
        <v>2</v>
      </c>
      <c r="J48" s="30">
        <v>8</v>
      </c>
      <c r="K48" s="30"/>
      <c r="L48" s="30"/>
      <c r="M48" s="30">
        <v>6</v>
      </c>
      <c r="N48" s="30"/>
      <c r="O48" s="30">
        <v>6</v>
      </c>
      <c r="P48" s="50">
        <f t="shared" si="0"/>
        <v>26</v>
      </c>
      <c r="Q48" s="9">
        <f t="shared" si="1"/>
        <v>18</v>
      </c>
      <c r="R48" s="9">
        <f t="shared" si="2"/>
        <v>8</v>
      </c>
    </row>
    <row r="49" spans="1:18" ht="21" customHeight="1" thickTop="1" thickBot="1" x14ac:dyDescent="0.35">
      <c r="A49" s="43">
        <v>39</v>
      </c>
      <c r="B49" s="47">
        <v>511523205041</v>
      </c>
      <c r="C49" s="44" t="s">
        <v>64</v>
      </c>
      <c r="D49" s="28"/>
      <c r="E49" s="29">
        <v>1</v>
      </c>
      <c r="F49" s="29">
        <v>1</v>
      </c>
      <c r="G49" s="29">
        <v>1</v>
      </c>
      <c r="H49" s="29"/>
      <c r="I49" s="29"/>
      <c r="J49" s="29">
        <v>10</v>
      </c>
      <c r="K49" s="29"/>
      <c r="L49" s="29"/>
      <c r="M49" s="29">
        <v>9</v>
      </c>
      <c r="N49" s="29">
        <v>9</v>
      </c>
      <c r="O49" s="29"/>
      <c r="P49" s="50">
        <f t="shared" si="0"/>
        <v>31</v>
      </c>
      <c r="Q49" s="9">
        <f t="shared" si="1"/>
        <v>30</v>
      </c>
      <c r="R49" s="9">
        <f t="shared" si="2"/>
        <v>1</v>
      </c>
    </row>
    <row r="50" spans="1:18" ht="21" customHeight="1" thickTop="1" thickBot="1" x14ac:dyDescent="0.35">
      <c r="A50" s="43">
        <v>40</v>
      </c>
      <c r="B50" s="47">
        <v>511523205042</v>
      </c>
      <c r="C50" s="44" t="s">
        <v>65</v>
      </c>
      <c r="D50" s="28"/>
      <c r="E50" s="29">
        <v>1</v>
      </c>
      <c r="F50" s="29">
        <v>1</v>
      </c>
      <c r="G50" s="29">
        <v>1</v>
      </c>
      <c r="H50" s="29">
        <v>1</v>
      </c>
      <c r="I50" s="29">
        <v>2</v>
      </c>
      <c r="J50" s="29"/>
      <c r="K50" s="29">
        <v>10</v>
      </c>
      <c r="L50" s="29"/>
      <c r="M50" s="29">
        <v>9</v>
      </c>
      <c r="N50" s="29">
        <v>8</v>
      </c>
      <c r="O50" s="29"/>
      <c r="P50" s="50">
        <f t="shared" si="0"/>
        <v>33</v>
      </c>
      <c r="Q50" s="9">
        <f t="shared" si="1"/>
        <v>31</v>
      </c>
      <c r="R50" s="9">
        <f t="shared" si="2"/>
        <v>2</v>
      </c>
    </row>
    <row r="51" spans="1:18" ht="21" customHeight="1" thickTop="1" thickBot="1" x14ac:dyDescent="0.35">
      <c r="A51" s="43">
        <v>41</v>
      </c>
      <c r="B51" s="47">
        <v>511523205043</v>
      </c>
      <c r="C51" s="44" t="s">
        <v>66</v>
      </c>
      <c r="D51" s="28"/>
      <c r="E51" s="29">
        <v>1</v>
      </c>
      <c r="F51" s="29">
        <v>2</v>
      </c>
      <c r="G51" s="29">
        <v>1</v>
      </c>
      <c r="H51" s="29">
        <v>1</v>
      </c>
      <c r="I51" s="29">
        <v>1</v>
      </c>
      <c r="J51" s="29"/>
      <c r="K51" s="29">
        <v>10</v>
      </c>
      <c r="L51" s="29"/>
      <c r="M51" s="29">
        <v>9</v>
      </c>
      <c r="N51" s="29">
        <v>10</v>
      </c>
      <c r="O51" s="29"/>
      <c r="P51" s="50">
        <f t="shared" si="0"/>
        <v>35</v>
      </c>
      <c r="Q51" s="9">
        <f t="shared" si="1"/>
        <v>33</v>
      </c>
      <c r="R51" s="9">
        <f t="shared" si="2"/>
        <v>2</v>
      </c>
    </row>
    <row r="52" spans="1:18" ht="21" customHeight="1" thickTop="1" thickBot="1" x14ac:dyDescent="0.35">
      <c r="A52" s="43">
        <v>42</v>
      </c>
      <c r="B52" s="47">
        <v>511523205044</v>
      </c>
      <c r="C52" s="44" t="s">
        <v>67</v>
      </c>
      <c r="D52" s="28"/>
      <c r="E52" s="29">
        <v>1</v>
      </c>
      <c r="F52" s="29">
        <v>1</v>
      </c>
      <c r="G52" s="29">
        <v>1</v>
      </c>
      <c r="H52" s="29">
        <v>1</v>
      </c>
      <c r="I52" s="29">
        <v>2</v>
      </c>
      <c r="J52" s="29">
        <v>2</v>
      </c>
      <c r="K52" s="29"/>
      <c r="L52" s="29"/>
      <c r="M52" s="29"/>
      <c r="N52" s="29"/>
      <c r="O52" s="29"/>
      <c r="P52" s="50">
        <f t="shared" si="0"/>
        <v>8</v>
      </c>
      <c r="Q52" s="9">
        <f t="shared" si="1"/>
        <v>6</v>
      </c>
      <c r="R52" s="9">
        <f t="shared" si="2"/>
        <v>2</v>
      </c>
    </row>
    <row r="53" spans="1:18" ht="21" customHeight="1" thickTop="1" thickBot="1" x14ac:dyDescent="0.35">
      <c r="A53" s="43">
        <v>43</v>
      </c>
      <c r="B53" s="47">
        <v>511523205045</v>
      </c>
      <c r="C53" s="44" t="s">
        <v>68</v>
      </c>
      <c r="D53" s="28"/>
      <c r="E53" s="29">
        <v>1</v>
      </c>
      <c r="F53" s="29">
        <v>1</v>
      </c>
      <c r="G53" s="29">
        <v>1</v>
      </c>
      <c r="H53" s="29">
        <v>2</v>
      </c>
      <c r="I53" s="29">
        <v>2</v>
      </c>
      <c r="J53" s="29"/>
      <c r="K53" s="29">
        <v>9</v>
      </c>
      <c r="L53" s="29"/>
      <c r="M53" s="29"/>
      <c r="N53" s="29"/>
      <c r="O53" s="29">
        <v>9</v>
      </c>
      <c r="P53" s="50">
        <f t="shared" si="0"/>
        <v>25</v>
      </c>
      <c r="Q53" s="9">
        <f t="shared" si="1"/>
        <v>13</v>
      </c>
      <c r="R53" s="9">
        <f t="shared" si="2"/>
        <v>12</v>
      </c>
    </row>
    <row r="54" spans="1:18" ht="21" customHeight="1" thickTop="1" thickBot="1" x14ac:dyDescent="0.35">
      <c r="A54" s="43">
        <v>44</v>
      </c>
      <c r="B54" s="47">
        <v>511523205046</v>
      </c>
      <c r="C54" s="44" t="s">
        <v>69</v>
      </c>
      <c r="D54" s="28"/>
      <c r="E54" s="29">
        <v>1</v>
      </c>
      <c r="F54" s="29">
        <v>1</v>
      </c>
      <c r="G54" s="29">
        <v>1</v>
      </c>
      <c r="H54" s="29">
        <v>1</v>
      </c>
      <c r="I54" s="29">
        <v>2</v>
      </c>
      <c r="J54" s="29"/>
      <c r="K54" s="29">
        <v>10</v>
      </c>
      <c r="L54" s="29">
        <v>8</v>
      </c>
      <c r="M54" s="29"/>
      <c r="N54" s="29">
        <v>8</v>
      </c>
      <c r="O54" s="29"/>
      <c r="P54" s="50">
        <f t="shared" si="0"/>
        <v>32</v>
      </c>
      <c r="Q54" s="9">
        <f t="shared" si="1"/>
        <v>30</v>
      </c>
      <c r="R54" s="9">
        <f t="shared" si="2"/>
        <v>2</v>
      </c>
    </row>
    <row r="55" spans="1:18" ht="21" customHeight="1" thickTop="1" thickBot="1" x14ac:dyDescent="0.35">
      <c r="A55" s="43">
        <v>45</v>
      </c>
      <c r="B55" s="47">
        <v>511523205047</v>
      </c>
      <c r="C55" s="44" t="s">
        <v>70</v>
      </c>
      <c r="D55" s="28"/>
      <c r="E55" s="29">
        <v>1</v>
      </c>
      <c r="F55" s="29">
        <v>1</v>
      </c>
      <c r="G55" s="29">
        <v>1</v>
      </c>
      <c r="H55" s="29">
        <v>1</v>
      </c>
      <c r="I55" s="29">
        <v>2</v>
      </c>
      <c r="J55" s="29">
        <v>5</v>
      </c>
      <c r="K55" s="29"/>
      <c r="L55" s="29"/>
      <c r="M55" s="29">
        <v>8</v>
      </c>
      <c r="N55" s="29">
        <v>10</v>
      </c>
      <c r="O55" s="29"/>
      <c r="P55" s="50">
        <f t="shared" si="0"/>
        <v>29</v>
      </c>
      <c r="Q55" s="9">
        <f t="shared" si="1"/>
        <v>27</v>
      </c>
      <c r="R55" s="9">
        <f t="shared" si="2"/>
        <v>2</v>
      </c>
    </row>
    <row r="56" spans="1:18" ht="21" customHeight="1" thickTop="1" thickBot="1" x14ac:dyDescent="0.35">
      <c r="A56" s="43">
        <v>46</v>
      </c>
      <c r="B56" s="47">
        <v>511523205048</v>
      </c>
      <c r="C56" s="44" t="s">
        <v>71</v>
      </c>
      <c r="D56" s="29"/>
      <c r="E56" s="31">
        <v>1</v>
      </c>
      <c r="F56" s="29">
        <v>1</v>
      </c>
      <c r="G56" s="29"/>
      <c r="H56" s="29"/>
      <c r="I56" s="29">
        <v>1</v>
      </c>
      <c r="J56" s="29">
        <v>5</v>
      </c>
      <c r="K56" s="29"/>
      <c r="L56" s="29"/>
      <c r="M56" s="29">
        <v>1</v>
      </c>
      <c r="N56" s="29">
        <v>5</v>
      </c>
      <c r="O56" s="29"/>
      <c r="P56" s="50">
        <f t="shared" si="0"/>
        <v>14</v>
      </c>
      <c r="Q56" s="9">
        <f t="shared" si="1"/>
        <v>14</v>
      </c>
      <c r="R56" s="9">
        <f t="shared" si="2"/>
        <v>0</v>
      </c>
    </row>
    <row r="57" spans="1:18" ht="19.5" customHeight="1" thickTop="1" thickBot="1" x14ac:dyDescent="0.35">
      <c r="A57" s="43">
        <v>47</v>
      </c>
      <c r="B57" s="47">
        <v>511523205049</v>
      </c>
      <c r="C57" s="44" t="s">
        <v>72</v>
      </c>
      <c r="D57" s="29"/>
      <c r="E57" s="31"/>
      <c r="F57" s="31"/>
      <c r="G57" s="31"/>
      <c r="H57" s="31"/>
      <c r="I57" s="31"/>
      <c r="J57" s="29"/>
      <c r="K57" s="29"/>
      <c r="L57" s="29"/>
      <c r="M57" s="29"/>
      <c r="N57" s="29"/>
      <c r="O57" s="29"/>
      <c r="P57" s="50">
        <f t="shared" si="0"/>
        <v>0</v>
      </c>
      <c r="Q57" s="9">
        <f t="shared" si="1"/>
        <v>0</v>
      </c>
      <c r="R57" s="9">
        <f t="shared" si="2"/>
        <v>0</v>
      </c>
    </row>
    <row r="58" spans="1:18" ht="19.5" customHeight="1" thickTop="1" thickBot="1" x14ac:dyDescent="0.35">
      <c r="A58" s="43">
        <v>48</v>
      </c>
      <c r="B58" s="47">
        <v>511523205050</v>
      </c>
      <c r="C58" s="44" t="s">
        <v>73</v>
      </c>
      <c r="D58" s="29"/>
      <c r="E58" s="31"/>
      <c r="F58" s="29">
        <v>1</v>
      </c>
      <c r="G58" s="29">
        <v>1</v>
      </c>
      <c r="H58" s="29">
        <v>1</v>
      </c>
      <c r="I58" s="29">
        <v>2</v>
      </c>
      <c r="J58" s="29"/>
      <c r="K58" s="29">
        <v>10</v>
      </c>
      <c r="L58" s="29"/>
      <c r="M58" s="29">
        <v>9</v>
      </c>
      <c r="N58" s="29"/>
      <c r="O58" s="29">
        <v>8</v>
      </c>
      <c r="P58" s="50">
        <f t="shared" si="0"/>
        <v>32</v>
      </c>
      <c r="Q58" s="9">
        <f t="shared" si="1"/>
        <v>22</v>
      </c>
      <c r="R58" s="9">
        <f t="shared" si="2"/>
        <v>10</v>
      </c>
    </row>
    <row r="59" spans="1:18" ht="19.5" customHeight="1" thickTop="1" thickBot="1" x14ac:dyDescent="0.35">
      <c r="A59" s="43">
        <v>49</v>
      </c>
      <c r="B59" s="47">
        <v>511523205051</v>
      </c>
      <c r="C59" s="44" t="s">
        <v>74</v>
      </c>
      <c r="D59" s="29"/>
      <c r="E59" s="31"/>
      <c r="F59" s="31"/>
      <c r="G59" s="31"/>
      <c r="H59" s="31"/>
      <c r="I59" s="31"/>
      <c r="J59" s="29"/>
      <c r="K59" s="29"/>
      <c r="L59" s="29"/>
      <c r="M59" s="29"/>
      <c r="N59" s="29"/>
      <c r="O59" s="29"/>
      <c r="P59" s="50">
        <f t="shared" si="0"/>
        <v>0</v>
      </c>
      <c r="Q59" s="9">
        <f t="shared" si="1"/>
        <v>0</v>
      </c>
      <c r="R59" s="9">
        <f t="shared" si="2"/>
        <v>0</v>
      </c>
    </row>
    <row r="60" spans="1:18" ht="19.5" customHeight="1" thickTop="1" thickBot="1" x14ac:dyDescent="0.35">
      <c r="A60" s="43">
        <v>50</v>
      </c>
      <c r="B60" s="47">
        <v>511523205052</v>
      </c>
      <c r="C60" s="44" t="s">
        <v>75</v>
      </c>
      <c r="D60" s="29"/>
      <c r="E60" s="31">
        <v>1</v>
      </c>
      <c r="F60" s="31">
        <v>1</v>
      </c>
      <c r="G60" s="31">
        <v>0</v>
      </c>
      <c r="H60" s="31">
        <v>1</v>
      </c>
      <c r="I60" s="31"/>
      <c r="J60" s="29"/>
      <c r="K60" s="29"/>
      <c r="L60" s="29"/>
      <c r="M60" s="29"/>
      <c r="N60" s="29">
        <v>1</v>
      </c>
      <c r="O60" s="29"/>
      <c r="P60" s="50">
        <f t="shared" si="0"/>
        <v>4</v>
      </c>
      <c r="Q60" s="9">
        <f t="shared" si="1"/>
        <v>3</v>
      </c>
      <c r="R60" s="9">
        <f t="shared" si="2"/>
        <v>1</v>
      </c>
    </row>
    <row r="61" spans="1:18" ht="19.5" customHeight="1" thickTop="1" thickBot="1" x14ac:dyDescent="0.35">
      <c r="A61" s="43">
        <v>51</v>
      </c>
      <c r="B61" s="47">
        <v>511523205053</v>
      </c>
      <c r="C61" s="44" t="s">
        <v>76</v>
      </c>
      <c r="D61" s="29"/>
      <c r="E61" s="31">
        <v>1</v>
      </c>
      <c r="F61" s="31">
        <v>1</v>
      </c>
      <c r="G61" s="31"/>
      <c r="H61" s="31"/>
      <c r="I61" s="31"/>
      <c r="J61" s="29"/>
      <c r="K61" s="29"/>
      <c r="L61" s="29"/>
      <c r="M61" s="29">
        <v>4</v>
      </c>
      <c r="N61" s="29">
        <v>6</v>
      </c>
      <c r="O61" s="29"/>
      <c r="P61" s="50">
        <f t="shared" si="0"/>
        <v>12</v>
      </c>
      <c r="Q61" s="9">
        <f t="shared" si="1"/>
        <v>12</v>
      </c>
      <c r="R61" s="9">
        <f t="shared" si="2"/>
        <v>0</v>
      </c>
    </row>
    <row r="62" spans="1:18" ht="19.5" customHeight="1" thickTop="1" thickBot="1" x14ac:dyDescent="0.35">
      <c r="A62" s="43">
        <v>52</v>
      </c>
      <c r="B62" s="47">
        <v>511523205054</v>
      </c>
      <c r="C62" s="44" t="s">
        <v>77</v>
      </c>
      <c r="D62" s="29"/>
      <c r="E62" s="31"/>
      <c r="F62" s="31"/>
      <c r="G62" s="31">
        <v>1</v>
      </c>
      <c r="H62" s="31"/>
      <c r="I62" s="31">
        <v>2</v>
      </c>
      <c r="J62" s="29"/>
      <c r="K62" s="29">
        <v>10</v>
      </c>
      <c r="L62" s="29"/>
      <c r="M62" s="29">
        <v>4</v>
      </c>
      <c r="N62" s="29"/>
      <c r="O62" s="29"/>
      <c r="P62" s="50">
        <f t="shared" si="0"/>
        <v>17</v>
      </c>
      <c r="Q62" s="9">
        <f t="shared" si="1"/>
        <v>16</v>
      </c>
      <c r="R62" s="9">
        <f t="shared" si="2"/>
        <v>1</v>
      </c>
    </row>
    <row r="63" spans="1:18" ht="19.5" customHeight="1" thickTop="1" thickBot="1" x14ac:dyDescent="0.35">
      <c r="A63" s="43">
        <v>53</v>
      </c>
      <c r="B63" s="47">
        <v>511523205055</v>
      </c>
      <c r="C63" s="44" t="s">
        <v>78</v>
      </c>
      <c r="D63" s="29"/>
      <c r="E63" s="31">
        <v>1</v>
      </c>
      <c r="F63" s="31">
        <v>2</v>
      </c>
      <c r="G63" s="31">
        <v>2</v>
      </c>
      <c r="H63" s="31">
        <v>1</v>
      </c>
      <c r="I63" s="31">
        <v>2</v>
      </c>
      <c r="J63" s="29"/>
      <c r="K63" s="29">
        <v>10</v>
      </c>
      <c r="L63" s="29"/>
      <c r="M63" s="29">
        <v>9</v>
      </c>
      <c r="N63" s="29">
        <v>10</v>
      </c>
      <c r="O63" s="29"/>
      <c r="P63" s="50">
        <f t="shared" si="0"/>
        <v>37</v>
      </c>
      <c r="Q63" s="9">
        <f t="shared" si="1"/>
        <v>34</v>
      </c>
      <c r="R63" s="9">
        <f t="shared" si="2"/>
        <v>3</v>
      </c>
    </row>
    <row r="64" spans="1:18" ht="19.5" customHeight="1" thickTop="1" thickBot="1" x14ac:dyDescent="0.35">
      <c r="A64" s="43">
        <v>54</v>
      </c>
      <c r="B64" s="47">
        <v>511523205056</v>
      </c>
      <c r="C64" s="44" t="s">
        <v>79</v>
      </c>
      <c r="D64" s="29"/>
      <c r="E64" s="31">
        <v>1</v>
      </c>
      <c r="F64" s="29">
        <v>1</v>
      </c>
      <c r="G64" s="29">
        <v>1</v>
      </c>
      <c r="H64" s="29">
        <v>0</v>
      </c>
      <c r="I64" s="29">
        <v>1</v>
      </c>
      <c r="J64" s="29">
        <v>4</v>
      </c>
      <c r="K64" s="29"/>
      <c r="L64" s="29"/>
      <c r="M64" s="29">
        <v>5</v>
      </c>
      <c r="N64" s="29"/>
      <c r="O64" s="29">
        <v>7</v>
      </c>
      <c r="P64" s="50">
        <f t="shared" si="0"/>
        <v>20</v>
      </c>
      <c r="Q64" s="9">
        <f t="shared" si="1"/>
        <v>12</v>
      </c>
      <c r="R64" s="9">
        <f t="shared" si="2"/>
        <v>8</v>
      </c>
    </row>
    <row r="65" spans="1:19" ht="19.5" customHeight="1" thickTop="1" thickBot="1" x14ac:dyDescent="0.35">
      <c r="A65" s="43">
        <v>55</v>
      </c>
      <c r="B65" s="47">
        <v>511523205057</v>
      </c>
      <c r="C65" s="44" t="s">
        <v>80</v>
      </c>
      <c r="D65" s="29"/>
      <c r="E65" s="31">
        <v>1</v>
      </c>
      <c r="F65" s="31">
        <v>1</v>
      </c>
      <c r="G65" s="31">
        <v>1</v>
      </c>
      <c r="H65" s="31">
        <v>1</v>
      </c>
      <c r="I65" s="31">
        <v>1</v>
      </c>
      <c r="J65" s="29"/>
      <c r="K65" s="29">
        <v>8</v>
      </c>
      <c r="L65" s="29"/>
      <c r="M65" s="29">
        <v>10</v>
      </c>
      <c r="N65" s="29">
        <v>7</v>
      </c>
      <c r="O65" s="29"/>
      <c r="P65" s="50">
        <f t="shared" si="0"/>
        <v>30</v>
      </c>
      <c r="Q65" s="9">
        <f t="shared" si="1"/>
        <v>28</v>
      </c>
      <c r="R65" s="9">
        <f t="shared" si="2"/>
        <v>2</v>
      </c>
    </row>
    <row r="66" spans="1:19" ht="19.5" customHeight="1" thickTop="1" thickBot="1" x14ac:dyDescent="0.35">
      <c r="A66" s="43">
        <v>56</v>
      </c>
      <c r="B66" s="47">
        <v>511523205058</v>
      </c>
      <c r="C66" s="44" t="s">
        <v>81</v>
      </c>
      <c r="D66" s="29"/>
      <c r="E66" s="31">
        <v>1</v>
      </c>
      <c r="F66" s="31">
        <v>1</v>
      </c>
      <c r="G66" s="31">
        <v>0</v>
      </c>
      <c r="H66" s="31">
        <v>0</v>
      </c>
      <c r="I66" s="31">
        <v>0</v>
      </c>
      <c r="J66" s="29">
        <v>8</v>
      </c>
      <c r="K66" s="29"/>
      <c r="L66" s="29">
        <v>4</v>
      </c>
      <c r="M66" s="29"/>
      <c r="N66" s="29"/>
      <c r="O66" s="29"/>
      <c r="P66" s="50">
        <f t="shared" si="0"/>
        <v>14</v>
      </c>
      <c r="Q66" s="9">
        <f t="shared" si="1"/>
        <v>14</v>
      </c>
      <c r="R66" s="9">
        <f t="shared" si="2"/>
        <v>0</v>
      </c>
    </row>
    <row r="67" spans="1:19" ht="19.5" customHeight="1" thickTop="1" thickBot="1" x14ac:dyDescent="0.35">
      <c r="A67" s="43">
        <v>57</v>
      </c>
      <c r="B67" s="47">
        <v>511523205059</v>
      </c>
      <c r="C67" s="44" t="s">
        <v>82</v>
      </c>
      <c r="D67" s="29"/>
      <c r="E67" s="31">
        <v>1</v>
      </c>
      <c r="F67" s="31">
        <v>1</v>
      </c>
      <c r="G67" s="31">
        <v>0</v>
      </c>
      <c r="H67" s="31">
        <v>0</v>
      </c>
      <c r="I67" s="31">
        <v>2</v>
      </c>
      <c r="J67" s="29"/>
      <c r="K67" s="29">
        <v>9</v>
      </c>
      <c r="L67" s="29"/>
      <c r="M67" s="29">
        <v>5</v>
      </c>
      <c r="N67" s="29"/>
      <c r="O67" s="29">
        <v>10</v>
      </c>
      <c r="P67" s="50">
        <f t="shared" si="0"/>
        <v>28</v>
      </c>
      <c r="Q67" s="9">
        <f t="shared" si="1"/>
        <v>18</v>
      </c>
      <c r="R67" s="9">
        <f t="shared" si="2"/>
        <v>10</v>
      </c>
    </row>
    <row r="68" spans="1:19" ht="19.5" customHeight="1" thickTop="1" thickBot="1" x14ac:dyDescent="0.35">
      <c r="A68" s="43">
        <v>58</v>
      </c>
      <c r="B68" s="47">
        <v>511523205060</v>
      </c>
      <c r="C68" s="46" t="s">
        <v>83</v>
      </c>
      <c r="D68" s="29"/>
      <c r="E68" s="31">
        <v>1</v>
      </c>
      <c r="F68" s="29">
        <v>1</v>
      </c>
      <c r="G68" s="29">
        <v>1</v>
      </c>
      <c r="H68" s="29"/>
      <c r="I68" s="29"/>
      <c r="J68" s="29">
        <v>4</v>
      </c>
      <c r="K68" s="29"/>
      <c r="L68" s="29"/>
      <c r="M68" s="29">
        <v>4</v>
      </c>
      <c r="N68" s="29">
        <v>3</v>
      </c>
      <c r="O68" s="29"/>
      <c r="P68" s="50">
        <f t="shared" si="0"/>
        <v>14</v>
      </c>
      <c r="Q68" s="9">
        <f t="shared" si="1"/>
        <v>13</v>
      </c>
      <c r="R68" s="9">
        <f t="shared" si="2"/>
        <v>1</v>
      </c>
    </row>
    <row r="69" spans="1:19" ht="19.5" customHeight="1" thickTop="1" thickBot="1" x14ac:dyDescent="0.35">
      <c r="A69" s="43">
        <v>59</v>
      </c>
      <c r="B69" s="47">
        <v>511523205061</v>
      </c>
      <c r="C69" s="44" t="s">
        <v>84</v>
      </c>
      <c r="D69" s="29"/>
      <c r="E69" s="31">
        <v>1</v>
      </c>
      <c r="F69" s="31">
        <v>1</v>
      </c>
      <c r="G69" s="31">
        <v>1</v>
      </c>
      <c r="H69" s="31">
        <v>1</v>
      </c>
      <c r="I69" s="29">
        <v>2</v>
      </c>
      <c r="J69" s="29">
        <v>10</v>
      </c>
      <c r="K69" s="29"/>
      <c r="L69" s="29"/>
      <c r="M69" s="29">
        <v>7</v>
      </c>
      <c r="N69" s="29">
        <v>8</v>
      </c>
      <c r="O69" s="29"/>
      <c r="P69" s="50">
        <f t="shared" si="0"/>
        <v>31</v>
      </c>
      <c r="Q69" s="9">
        <f t="shared" si="1"/>
        <v>29</v>
      </c>
      <c r="R69" s="9">
        <f t="shared" si="2"/>
        <v>2</v>
      </c>
    </row>
    <row r="70" spans="1:19" ht="19.5" customHeight="1" thickTop="1" thickBot="1" x14ac:dyDescent="0.35">
      <c r="A70" s="43">
        <v>60</v>
      </c>
      <c r="B70" s="49">
        <v>511523205062</v>
      </c>
      <c r="C70" s="42" t="s">
        <v>85</v>
      </c>
      <c r="D70" s="36"/>
      <c r="E70" s="37"/>
      <c r="F70" s="37"/>
      <c r="G70" s="37"/>
      <c r="H70" s="37"/>
      <c r="I70" s="36"/>
      <c r="J70" s="36"/>
      <c r="K70" s="36"/>
      <c r="L70" s="36"/>
      <c r="M70" s="36"/>
      <c r="N70" s="36"/>
      <c r="O70" s="36"/>
      <c r="P70" s="50">
        <f t="shared" si="0"/>
        <v>0</v>
      </c>
      <c r="Q70" s="9">
        <f t="shared" si="1"/>
        <v>0</v>
      </c>
      <c r="R70" s="9">
        <f t="shared" si="2"/>
        <v>0</v>
      </c>
    </row>
    <row r="71" spans="1:19" ht="19.5" customHeight="1" thickTop="1" thickBot="1" x14ac:dyDescent="0.35">
      <c r="A71" s="43">
        <v>61</v>
      </c>
      <c r="B71" s="49">
        <v>511523205063</v>
      </c>
      <c r="C71" s="35" t="s">
        <v>86</v>
      </c>
      <c r="D71" s="38"/>
      <c r="E71" s="39">
        <v>1</v>
      </c>
      <c r="F71" s="39">
        <v>1</v>
      </c>
      <c r="G71" s="39">
        <v>2</v>
      </c>
      <c r="H71" s="39">
        <v>0</v>
      </c>
      <c r="I71" s="38">
        <v>1</v>
      </c>
      <c r="J71" s="38">
        <v>10</v>
      </c>
      <c r="K71" s="38"/>
      <c r="L71" s="38">
        <v>8</v>
      </c>
      <c r="M71" s="38"/>
      <c r="N71" s="38"/>
      <c r="O71" s="38"/>
      <c r="P71" s="50">
        <f t="shared" si="0"/>
        <v>23</v>
      </c>
      <c r="Q71" s="9">
        <f t="shared" si="1"/>
        <v>21</v>
      </c>
      <c r="R71" s="9">
        <f t="shared" si="2"/>
        <v>2</v>
      </c>
    </row>
    <row r="72" spans="1:19" ht="19.5" customHeight="1" thickTop="1" thickBot="1" x14ac:dyDescent="0.35">
      <c r="A72" s="43">
        <v>62</v>
      </c>
      <c r="B72" s="49">
        <v>511523205064</v>
      </c>
      <c r="C72" s="35" t="s">
        <v>87</v>
      </c>
      <c r="D72" s="38"/>
      <c r="E72" s="39"/>
      <c r="F72" s="39"/>
      <c r="G72" s="39"/>
      <c r="H72" s="39"/>
      <c r="I72" s="38"/>
      <c r="J72" s="38"/>
      <c r="K72" s="38"/>
      <c r="L72" s="38"/>
      <c r="M72" s="38"/>
      <c r="N72" s="38"/>
      <c r="O72" s="38"/>
      <c r="P72" s="50">
        <f t="shared" si="0"/>
        <v>0</v>
      </c>
      <c r="Q72" s="9">
        <f t="shared" si="1"/>
        <v>0</v>
      </c>
      <c r="R72" s="9">
        <f t="shared" si="2"/>
        <v>0</v>
      </c>
    </row>
    <row r="73" spans="1:19" ht="15.75" customHeight="1" thickTop="1" thickBot="1" x14ac:dyDescent="0.3">
      <c r="A73" s="43">
        <v>63</v>
      </c>
      <c r="B73" s="49">
        <v>511523205301</v>
      </c>
      <c r="C73" s="35" t="s">
        <v>88</v>
      </c>
      <c r="D73" s="41"/>
      <c r="E73" s="41">
        <v>0</v>
      </c>
      <c r="F73" s="40">
        <v>0</v>
      </c>
      <c r="G73" s="41">
        <v>0</v>
      </c>
      <c r="H73" s="41">
        <v>0</v>
      </c>
      <c r="I73" s="41">
        <v>0</v>
      </c>
      <c r="J73" s="41">
        <v>7</v>
      </c>
      <c r="K73" s="41"/>
      <c r="L73" s="41"/>
      <c r="M73" s="41">
        <v>4</v>
      </c>
      <c r="N73" s="41">
        <v>9</v>
      </c>
      <c r="O73" s="41"/>
      <c r="P73" s="50">
        <f t="shared" si="0"/>
        <v>20</v>
      </c>
      <c r="Q73" s="9">
        <f t="shared" si="1"/>
        <v>20</v>
      </c>
      <c r="R73" s="9">
        <f t="shared" si="2"/>
        <v>0</v>
      </c>
      <c r="S73" s="4"/>
    </row>
    <row r="74" spans="1:19" ht="15.75" customHeight="1" thickTop="1" thickBot="1" x14ac:dyDescent="0.3">
      <c r="A74" s="43">
        <v>64</v>
      </c>
      <c r="B74" s="49">
        <v>511523205701</v>
      </c>
      <c r="C74" s="35" t="s">
        <v>89</v>
      </c>
      <c r="D74" s="41"/>
      <c r="E74" s="41">
        <v>0</v>
      </c>
      <c r="F74" s="40">
        <v>0</v>
      </c>
      <c r="G74" s="41">
        <v>0</v>
      </c>
      <c r="H74" s="41">
        <v>0</v>
      </c>
      <c r="I74" s="41">
        <v>0</v>
      </c>
      <c r="J74" s="41">
        <v>3</v>
      </c>
      <c r="K74" s="41"/>
      <c r="L74" s="41"/>
      <c r="M74" s="41"/>
      <c r="N74" s="41"/>
      <c r="O74" s="41"/>
      <c r="P74" s="50">
        <f t="shared" si="0"/>
        <v>3</v>
      </c>
      <c r="Q74" s="9">
        <f t="shared" si="1"/>
        <v>3</v>
      </c>
      <c r="R74" s="9">
        <f t="shared" si="2"/>
        <v>0</v>
      </c>
      <c r="S74" s="4"/>
    </row>
    <row r="75" spans="1:19" ht="15.75" customHeight="1" thickTop="1" x14ac:dyDescent="0.25">
      <c r="A75" s="5"/>
      <c r="B75" s="5"/>
      <c r="C75" s="5"/>
      <c r="D75" s="5"/>
      <c r="E75" s="5"/>
      <c r="F75" s="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4"/>
    </row>
    <row r="76" spans="1:19" ht="15.75" customHeight="1" x14ac:dyDescent="0.3">
      <c r="A76" s="34" t="s">
        <v>10</v>
      </c>
      <c r="B76" s="34"/>
      <c r="C76" s="34"/>
      <c r="D76" s="32"/>
      <c r="E76" s="32">
        <f t="shared" ref="E76:O76" si="3">COUNT(E11:E74)</f>
        <v>52</v>
      </c>
      <c r="F76" s="32">
        <f t="shared" si="3"/>
        <v>53</v>
      </c>
      <c r="G76" s="32">
        <f t="shared" si="3"/>
        <v>50</v>
      </c>
      <c r="H76" s="32">
        <f t="shared" si="3"/>
        <v>45</v>
      </c>
      <c r="I76" s="32">
        <f t="shared" si="3"/>
        <v>50</v>
      </c>
      <c r="J76" s="32">
        <f t="shared" si="3"/>
        <v>22</v>
      </c>
      <c r="K76" s="32">
        <f t="shared" si="3"/>
        <v>33</v>
      </c>
      <c r="L76" s="32">
        <f t="shared" si="3"/>
        <v>15</v>
      </c>
      <c r="M76" s="32">
        <f t="shared" si="3"/>
        <v>34</v>
      </c>
      <c r="N76" s="32">
        <f t="shared" si="3"/>
        <v>34</v>
      </c>
      <c r="O76" s="32">
        <f t="shared" si="3"/>
        <v>15</v>
      </c>
      <c r="P76" s="4"/>
      <c r="Q76" s="5"/>
      <c r="R76" s="5"/>
    </row>
    <row r="77" spans="1:19" ht="15.75" customHeight="1" x14ac:dyDescent="0.3">
      <c r="A77" s="34" t="s">
        <v>11</v>
      </c>
      <c r="B77" s="34"/>
      <c r="C77" s="34"/>
      <c r="D77" s="32"/>
      <c r="E77" s="32">
        <f>COUNTIF(E11:E74,"&gt;="&amp;E10*0.5)</f>
        <v>49</v>
      </c>
      <c r="F77" s="32">
        <f t="shared" ref="F77:N77" si="4">COUNTIF(F11:F74,"&gt;="&amp;F10*0.5)</f>
        <v>48</v>
      </c>
      <c r="G77" s="32">
        <f t="shared" si="4"/>
        <v>43</v>
      </c>
      <c r="H77" s="32">
        <f>COUNTIF(H11:H74,"&gt;="&amp;H10*0.5)</f>
        <v>37</v>
      </c>
      <c r="I77" s="32">
        <f t="shared" si="4"/>
        <v>47</v>
      </c>
      <c r="J77" s="32">
        <f t="shared" si="4"/>
        <v>14</v>
      </c>
      <c r="K77" s="32">
        <f t="shared" si="4"/>
        <v>32</v>
      </c>
      <c r="L77" s="32">
        <f t="shared" si="4"/>
        <v>8</v>
      </c>
      <c r="M77" s="32">
        <f t="shared" si="4"/>
        <v>23</v>
      </c>
      <c r="N77" s="32">
        <f t="shared" si="4"/>
        <v>25</v>
      </c>
      <c r="O77" s="32">
        <f>COUNTIF(O11:O74,"&gt;="&amp;O10*0.5)</f>
        <v>14</v>
      </c>
      <c r="P77" s="4"/>
      <c r="Q77" s="5"/>
      <c r="R77" s="5"/>
    </row>
    <row r="78" spans="1:19" ht="15.75" customHeight="1" x14ac:dyDescent="0.3">
      <c r="A78" s="53" t="s">
        <v>12</v>
      </c>
      <c r="B78" s="53"/>
      <c r="C78" s="53"/>
      <c r="D78" s="33" t="str">
        <f t="shared" ref="D78:N78" si="5">IF(D76&gt;0,D77/D76,"")</f>
        <v/>
      </c>
      <c r="E78" s="33">
        <f>IF(E76&gt;0,E77/E76,"")</f>
        <v>0.94230769230769229</v>
      </c>
      <c r="F78" s="33">
        <f>IF(F76&gt;0,F77/F76,"")</f>
        <v>0.90566037735849059</v>
      </c>
      <c r="G78" s="33">
        <f t="shared" si="5"/>
        <v>0.86</v>
      </c>
      <c r="H78" s="33">
        <f>IF(H76&gt;0,H77/H76,"")</f>
        <v>0.82222222222222219</v>
      </c>
      <c r="I78" s="33">
        <f t="shared" si="5"/>
        <v>0.94</v>
      </c>
      <c r="J78" s="33">
        <f t="shared" si="5"/>
        <v>0.63636363636363635</v>
      </c>
      <c r="K78" s="33">
        <f t="shared" si="5"/>
        <v>0.96969696969696972</v>
      </c>
      <c r="L78" s="33">
        <f>IF(L76&gt;0,L77/L76,"")</f>
        <v>0.53333333333333333</v>
      </c>
      <c r="M78" s="33">
        <f t="shared" si="5"/>
        <v>0.67647058823529416</v>
      </c>
      <c r="N78" s="33">
        <f t="shared" si="5"/>
        <v>0.73529411764705888</v>
      </c>
      <c r="O78" s="33">
        <f>IF(O76&gt;0,O77/O76,"")</f>
        <v>0.93333333333333335</v>
      </c>
      <c r="P78" s="4"/>
      <c r="Q78" s="5"/>
      <c r="R78" s="5"/>
    </row>
    <row r="79" spans="1:19" ht="15.75" customHeight="1" x14ac:dyDescent="0.25">
      <c r="A79" s="5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4"/>
    </row>
    <row r="80" spans="1:19" ht="15.75" customHeight="1" x14ac:dyDescent="0.25">
      <c r="A80" s="5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4"/>
    </row>
    <row r="81" spans="1:18" ht="15.75" customHeight="1" x14ac:dyDescent="0.25">
      <c r="A81" s="5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4"/>
    </row>
    <row r="82" spans="1:18" ht="15.75" customHeight="1" x14ac:dyDescent="0.25">
      <c r="A82" s="5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4"/>
    </row>
    <row r="83" spans="1:18" ht="15.75" customHeight="1" x14ac:dyDescent="0.25">
      <c r="A83" s="5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4"/>
    </row>
    <row r="84" spans="1:18" ht="15.75" customHeight="1" x14ac:dyDescent="0.25">
      <c r="A84" s="5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4"/>
    </row>
    <row r="85" spans="1:18" ht="15.75" customHeight="1" x14ac:dyDescent="0.25">
      <c r="A85" s="5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4"/>
    </row>
    <row r="86" spans="1:18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4"/>
    </row>
    <row r="87" spans="1:18" ht="1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4"/>
    </row>
    <row r="88" spans="1:18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4"/>
    </row>
    <row r="89" spans="1:18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ht="15.75" customHeight="1" x14ac:dyDescent="0.25">
      <c r="A92" s="5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ht="15.75" customHeight="1" x14ac:dyDescent="0.25">
      <c r="A93" s="5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ht="15.75" customHeight="1" x14ac:dyDescent="0.25">
      <c r="A94" s="5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ht="15.75" customHeight="1" x14ac:dyDescent="0.25">
      <c r="A95" s="5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ht="15.75" customHeight="1" x14ac:dyDescent="0.25">
      <c r="A96" s="5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ht="15.75" customHeight="1" x14ac:dyDescent="0.25">
      <c r="A97" s="5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ht="15.75" customHeight="1" x14ac:dyDescent="0.25">
      <c r="A98" s="5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ht="15.75" customHeight="1" x14ac:dyDescent="0.25">
      <c r="A99" s="5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ht="15.75" customHeight="1" x14ac:dyDescent="0.25">
      <c r="A100" s="5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ht="15.75" customHeight="1" x14ac:dyDescent="0.25">
      <c r="A101" s="5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ht="15.75" customHeight="1" x14ac:dyDescent="0.25">
      <c r="A102" s="5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ht="15.75" customHeight="1" x14ac:dyDescent="0.25">
      <c r="A103" s="5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ht="15.75" customHeight="1" x14ac:dyDescent="0.25">
      <c r="A104" s="5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ht="15.75" customHeight="1" x14ac:dyDescent="0.25">
      <c r="A105" s="5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ht="15.75" customHeight="1" x14ac:dyDescent="0.25">
      <c r="A106" s="5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5.75" customHeight="1" x14ac:dyDescent="0.25">
      <c r="A107" s="5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5.75" customHeight="1" x14ac:dyDescent="0.25">
      <c r="A108" s="5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ht="15.75" customHeight="1" x14ac:dyDescent="0.25">
      <c r="A109" s="5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ht="15.75" customHeight="1" x14ac:dyDescent="0.25">
      <c r="A110" s="5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ht="15.75" customHeight="1" x14ac:dyDescent="0.25">
      <c r="A111" s="5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ht="15.75" customHeight="1" x14ac:dyDescent="0.25">
      <c r="A112" s="5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ht="15.75" customHeight="1" x14ac:dyDescent="0.25">
      <c r="A113" s="5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ht="15.75" customHeight="1" x14ac:dyDescent="0.25">
      <c r="A114" s="5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ht="15.75" customHeight="1" x14ac:dyDescent="0.25">
      <c r="A115" s="5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ht="15.75" customHeight="1" x14ac:dyDescent="0.25">
      <c r="A116" s="5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ht="15.75" customHeight="1" x14ac:dyDescent="0.25">
      <c r="A117" s="5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ht="15.75" customHeight="1" x14ac:dyDescent="0.25">
      <c r="A118" s="5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ht="15.75" customHeight="1" x14ac:dyDescent="0.25">
      <c r="A119" s="5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ht="15.75" customHeight="1" x14ac:dyDescent="0.25">
      <c r="A120" s="5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ht="15.75" customHeight="1" x14ac:dyDescent="0.25">
      <c r="A121" s="5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ht="15.75" customHeight="1" x14ac:dyDescent="0.25">
      <c r="A122" s="5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ht="15.75" customHeight="1" x14ac:dyDescent="0.25">
      <c r="A123" s="5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ht="15.75" customHeight="1" x14ac:dyDescent="0.25">
      <c r="A124" s="5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ht="15.75" customHeight="1" x14ac:dyDescent="0.25">
      <c r="A125" s="5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ht="15.75" customHeight="1" x14ac:dyDescent="0.25">
      <c r="A126" s="5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ht="15.75" customHeight="1" x14ac:dyDescent="0.25">
      <c r="A127" s="5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ht="15.75" customHeight="1" x14ac:dyDescent="0.25">
      <c r="A128" s="5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ht="15.75" customHeight="1" x14ac:dyDescent="0.25">
      <c r="A129" s="5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ht="15.75" customHeight="1" x14ac:dyDescent="0.25">
      <c r="A130" s="5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ht="15.75" customHeight="1" x14ac:dyDescent="0.25">
      <c r="A131" s="5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ht="15.75" customHeight="1" x14ac:dyDescent="0.25">
      <c r="A132" s="5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ht="15.75" customHeight="1" x14ac:dyDescent="0.25">
      <c r="A133" s="5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ht="15.75" customHeight="1" x14ac:dyDescent="0.25">
      <c r="A134" s="5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ht="15.75" customHeight="1" x14ac:dyDescent="0.25">
      <c r="A135" s="5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ht="15.75" customHeight="1" x14ac:dyDescent="0.25">
      <c r="A136" s="5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ht="15.75" customHeight="1" x14ac:dyDescent="0.25">
      <c r="A137" s="5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5.75" customHeight="1" x14ac:dyDescent="0.25">
      <c r="A138" s="5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5.75" customHeight="1" x14ac:dyDescent="0.25">
      <c r="A139" s="5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5.75" customHeight="1" x14ac:dyDescent="0.25">
      <c r="A140" s="5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5.75" customHeight="1" x14ac:dyDescent="0.25">
      <c r="A141" s="5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5.75" customHeight="1" x14ac:dyDescent="0.25">
      <c r="A142" s="5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5.75" customHeight="1" x14ac:dyDescent="0.25">
      <c r="A143" s="5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5.75" customHeight="1" x14ac:dyDescent="0.25">
      <c r="A144" s="5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5.75" customHeight="1" x14ac:dyDescent="0.25">
      <c r="A145" s="5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5.75" customHeight="1" x14ac:dyDescent="0.25">
      <c r="A146" s="5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5.75" customHeight="1" x14ac:dyDescent="0.25">
      <c r="A147" s="5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5.75" customHeight="1" x14ac:dyDescent="0.25">
      <c r="A148" s="5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5.75" customHeight="1" x14ac:dyDescent="0.25">
      <c r="A149" s="5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5.75" customHeight="1" x14ac:dyDescent="0.25">
      <c r="A150" s="5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5.75" customHeight="1" x14ac:dyDescent="0.25">
      <c r="A151" s="5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5.75" customHeight="1" x14ac:dyDescent="0.25">
      <c r="A152" s="5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5.75" customHeight="1" x14ac:dyDescent="0.25">
      <c r="A153" s="5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5.75" customHeight="1" x14ac:dyDescent="0.25">
      <c r="A154" s="5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5.75" customHeight="1" x14ac:dyDescent="0.25">
      <c r="A155" s="5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5.75" customHeight="1" x14ac:dyDescent="0.25">
      <c r="A156" s="5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5.75" customHeight="1" x14ac:dyDescent="0.25">
      <c r="A157" s="5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5.75" customHeight="1" x14ac:dyDescent="0.25">
      <c r="A158" s="5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5.75" customHeight="1" x14ac:dyDescent="0.25">
      <c r="A159" s="5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5.75" customHeight="1" x14ac:dyDescent="0.25">
      <c r="A160" s="5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5.75" customHeight="1" x14ac:dyDescent="0.25">
      <c r="A161" s="5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5.75" customHeight="1" x14ac:dyDescent="0.25">
      <c r="A162" s="5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5.75" customHeight="1" x14ac:dyDescent="0.25">
      <c r="A163" s="5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5.75" customHeight="1" x14ac:dyDescent="0.25">
      <c r="A164" s="5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5.75" customHeight="1" x14ac:dyDescent="0.25">
      <c r="A165" s="5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5.75" customHeight="1" x14ac:dyDescent="0.25">
      <c r="A166" s="5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5.75" customHeight="1" x14ac:dyDescent="0.25">
      <c r="A167" s="5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5.75" customHeight="1" x14ac:dyDescent="0.25">
      <c r="A168" s="5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5.75" customHeight="1" x14ac:dyDescent="0.25">
      <c r="A169" s="5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5.75" customHeight="1" x14ac:dyDescent="0.25">
      <c r="A170" s="5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5.75" customHeight="1" x14ac:dyDescent="0.25">
      <c r="A171" s="5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5.75" customHeight="1" x14ac:dyDescent="0.25">
      <c r="A172" s="5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5.75" customHeight="1" x14ac:dyDescent="0.25">
      <c r="A173" s="5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5.75" customHeight="1" x14ac:dyDescent="0.25">
      <c r="A174" s="5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5.75" customHeight="1" x14ac:dyDescent="0.25">
      <c r="A175" s="5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5.75" customHeight="1" x14ac:dyDescent="0.25">
      <c r="A176" s="5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5.75" customHeight="1" x14ac:dyDescent="0.25">
      <c r="A177" s="5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5.75" customHeight="1" x14ac:dyDescent="0.25">
      <c r="A178" s="5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5.75" customHeight="1" x14ac:dyDescent="0.25">
      <c r="A179" s="5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5.75" customHeight="1" x14ac:dyDescent="0.25">
      <c r="A180" s="5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5.75" customHeight="1" x14ac:dyDescent="0.25">
      <c r="A181" s="5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5.75" customHeight="1" x14ac:dyDescent="0.25">
      <c r="A182" s="5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5.75" customHeight="1" x14ac:dyDescent="0.25">
      <c r="A183" s="5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5.75" customHeight="1" x14ac:dyDescent="0.25">
      <c r="A184" s="5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5.75" customHeight="1" x14ac:dyDescent="0.25">
      <c r="A185" s="5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5.75" customHeight="1" x14ac:dyDescent="0.25">
      <c r="A186" s="5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5.75" customHeight="1" x14ac:dyDescent="0.25">
      <c r="A187" s="5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5.75" customHeight="1" x14ac:dyDescent="0.25">
      <c r="A188" s="5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5.75" customHeight="1" x14ac:dyDescent="0.25">
      <c r="A189" s="5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5.75" customHeight="1" x14ac:dyDescent="0.25">
      <c r="A190" s="5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5.75" customHeight="1" x14ac:dyDescent="0.25">
      <c r="A191" s="5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5.75" customHeight="1" x14ac:dyDescent="0.25">
      <c r="A192" s="5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5.75" customHeight="1" x14ac:dyDescent="0.25">
      <c r="A193" s="5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5.75" customHeight="1" x14ac:dyDescent="0.25">
      <c r="A194" s="5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5.75" customHeight="1" x14ac:dyDescent="0.25">
      <c r="A195" s="5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5.75" customHeight="1" x14ac:dyDescent="0.25">
      <c r="A196" s="5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5.75" customHeight="1" x14ac:dyDescent="0.25">
      <c r="A197" s="5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5.75" customHeight="1" x14ac:dyDescent="0.25">
      <c r="A198" s="5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5.75" customHeight="1" x14ac:dyDescent="0.25">
      <c r="A199" s="5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5.75" customHeight="1" x14ac:dyDescent="0.25">
      <c r="A200" s="5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5.75" customHeight="1" x14ac:dyDescent="0.25">
      <c r="A201" s="5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5.75" customHeight="1" x14ac:dyDescent="0.25">
      <c r="A202" s="5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5.75" customHeight="1" x14ac:dyDescent="0.25">
      <c r="A203" s="5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5.75" customHeight="1" x14ac:dyDescent="0.25">
      <c r="A204" s="5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5.75" customHeight="1" x14ac:dyDescent="0.25">
      <c r="A205" s="5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5.75" customHeight="1" x14ac:dyDescent="0.25">
      <c r="A206" s="5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5.75" customHeight="1" x14ac:dyDescent="0.25">
      <c r="A207" s="5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5.75" customHeight="1" x14ac:dyDescent="0.25">
      <c r="A208" s="5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5.75" customHeight="1" x14ac:dyDescent="0.25">
      <c r="A209" s="5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5.75" customHeight="1" x14ac:dyDescent="0.25">
      <c r="A210" s="5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5.75" customHeight="1" x14ac:dyDescent="0.25">
      <c r="A211" s="5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5.75" customHeight="1" x14ac:dyDescent="0.25">
      <c r="A212" s="5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5.75" customHeight="1" x14ac:dyDescent="0.25">
      <c r="A213" s="5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5.75" customHeight="1" x14ac:dyDescent="0.25">
      <c r="A214" s="5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5.75" customHeight="1" x14ac:dyDescent="0.25">
      <c r="A215" s="5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5.75" customHeight="1" x14ac:dyDescent="0.25">
      <c r="A216" s="5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5.75" customHeight="1" x14ac:dyDescent="0.25">
      <c r="A217" s="5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5.75" customHeight="1" x14ac:dyDescent="0.25">
      <c r="A218" s="5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5.75" customHeight="1" x14ac:dyDescent="0.25">
      <c r="A219" s="5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5.75" customHeight="1" x14ac:dyDescent="0.25">
      <c r="A220" s="5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5.75" customHeight="1" x14ac:dyDescent="0.25">
      <c r="A221" s="5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5.75" customHeight="1" x14ac:dyDescent="0.25">
      <c r="A222" s="5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5.75" customHeight="1" x14ac:dyDescent="0.25">
      <c r="A223" s="5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5.75" customHeight="1" x14ac:dyDescent="0.25">
      <c r="A224" s="5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5.75" customHeight="1" x14ac:dyDescent="0.25">
      <c r="A225" s="5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5.75" customHeight="1" x14ac:dyDescent="0.25">
      <c r="A226" s="5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5.75" customHeight="1" x14ac:dyDescent="0.25">
      <c r="A227" s="5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5.75" customHeight="1" x14ac:dyDescent="0.25">
      <c r="A228" s="5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5.75" customHeight="1" x14ac:dyDescent="0.25">
      <c r="A229" s="5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5.75" customHeight="1" x14ac:dyDescent="0.25">
      <c r="A230" s="5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5.75" customHeight="1" x14ac:dyDescent="0.25">
      <c r="A231" s="5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5.75" customHeight="1" x14ac:dyDescent="0.25">
      <c r="A232" s="5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5.75" customHeight="1" x14ac:dyDescent="0.25">
      <c r="A233" s="5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5.75" customHeight="1" x14ac:dyDescent="0.25">
      <c r="A234" s="5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5.75" customHeight="1" x14ac:dyDescent="0.25">
      <c r="A235" s="5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5.75" customHeight="1" x14ac:dyDescent="0.25">
      <c r="A236" s="5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5.75" customHeight="1" x14ac:dyDescent="0.25">
      <c r="A237" s="5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5.75" customHeight="1" x14ac:dyDescent="0.25">
      <c r="A238" s="5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5.75" customHeight="1" x14ac:dyDescent="0.25">
      <c r="A239" s="5"/>
      <c r="B239" s="5"/>
      <c r="C239" s="5"/>
      <c r="D239" s="5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5.75" customHeight="1" x14ac:dyDescent="0.25">
      <c r="A240" s="5"/>
      <c r="B240" s="5"/>
      <c r="C240" s="5"/>
      <c r="D240" s="5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5.75" customHeight="1" x14ac:dyDescent="0.25">
      <c r="A241" s="5"/>
      <c r="B241" s="5"/>
      <c r="C241" s="5"/>
      <c r="D241" s="5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5.75" customHeight="1" x14ac:dyDescent="0.25">
      <c r="A242" s="5"/>
      <c r="B242" s="5"/>
      <c r="C242" s="5"/>
      <c r="D242" s="5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5.75" customHeight="1" x14ac:dyDescent="0.25">
      <c r="A243" s="5"/>
      <c r="B243" s="5"/>
      <c r="C243" s="5"/>
      <c r="D243" s="5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5.75" customHeight="1" x14ac:dyDescent="0.25">
      <c r="A244" s="5"/>
      <c r="B244" s="5"/>
      <c r="C244" s="5"/>
      <c r="D244" s="5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5.75" customHeight="1" x14ac:dyDescent="0.25">
      <c r="A245" s="5"/>
      <c r="B245" s="5"/>
      <c r="C245" s="5"/>
      <c r="D245" s="5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5.75" customHeight="1" x14ac:dyDescent="0.25">
      <c r="A246" s="5"/>
      <c r="B246" s="5"/>
      <c r="C246" s="5"/>
      <c r="D246" s="5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5.75" customHeight="1" x14ac:dyDescent="0.25">
      <c r="A247" s="5"/>
      <c r="B247" s="5"/>
      <c r="C247" s="5"/>
      <c r="D247" s="5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5.75" customHeight="1" x14ac:dyDescent="0.25">
      <c r="A248" s="5"/>
      <c r="B248" s="5"/>
      <c r="C248" s="5"/>
      <c r="D248" s="5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5.75" customHeight="1" x14ac:dyDescent="0.25">
      <c r="A249" s="5"/>
      <c r="B249" s="5"/>
      <c r="C249" s="5"/>
      <c r="D249" s="5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5.75" customHeight="1" x14ac:dyDescent="0.25">
      <c r="A250" s="5"/>
      <c r="B250" s="5"/>
      <c r="C250" s="5"/>
      <c r="D250" s="5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5.75" customHeight="1" x14ac:dyDescent="0.25">
      <c r="A251" s="5"/>
      <c r="B251" s="5"/>
      <c r="C251" s="5"/>
      <c r="D251" s="5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5.75" customHeight="1" x14ac:dyDescent="0.25">
      <c r="A252" s="5"/>
      <c r="B252" s="5"/>
      <c r="C252" s="5"/>
      <c r="D252" s="5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5.75" customHeight="1" x14ac:dyDescent="0.25">
      <c r="A253" s="5"/>
      <c r="B253" s="5"/>
      <c r="C253" s="5"/>
      <c r="D253" s="5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5.75" customHeight="1" x14ac:dyDescent="0.25">
      <c r="A254" s="5"/>
      <c r="B254" s="5"/>
      <c r="C254" s="5"/>
      <c r="D254" s="5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5.75" customHeight="1" x14ac:dyDescent="0.25">
      <c r="A255" s="5"/>
      <c r="B255" s="5"/>
      <c r="C255" s="5"/>
      <c r="D255" s="5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5.75" customHeight="1" x14ac:dyDescent="0.25">
      <c r="A256" s="5"/>
      <c r="B256" s="5"/>
      <c r="C256" s="5"/>
      <c r="D256" s="5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5.75" customHeight="1" x14ac:dyDescent="0.25">
      <c r="A257" s="5"/>
      <c r="B257" s="5"/>
      <c r="C257" s="5"/>
      <c r="D257" s="5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5.75" customHeight="1" x14ac:dyDescent="0.25">
      <c r="A258" s="5"/>
      <c r="B258" s="5"/>
      <c r="C258" s="5"/>
      <c r="D258" s="5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5.75" customHeight="1" x14ac:dyDescent="0.25">
      <c r="A259" s="5"/>
      <c r="B259" s="5"/>
      <c r="C259" s="5"/>
      <c r="D259" s="5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5.75" customHeight="1" x14ac:dyDescent="0.25">
      <c r="A260" s="5"/>
      <c r="B260" s="5"/>
      <c r="C260" s="5"/>
      <c r="D260" s="5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5.75" customHeight="1" x14ac:dyDescent="0.25">
      <c r="A261" s="5"/>
      <c r="B261" s="5"/>
      <c r="C261" s="5"/>
      <c r="D261" s="5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5.75" customHeight="1" x14ac:dyDescent="0.25">
      <c r="A262" s="5"/>
      <c r="B262" s="5"/>
      <c r="C262" s="5"/>
      <c r="D262" s="5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5.75" customHeight="1" x14ac:dyDescent="0.25">
      <c r="A263" s="5"/>
      <c r="B263" s="5"/>
      <c r="C263" s="5"/>
      <c r="D263" s="5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5.75" customHeight="1" x14ac:dyDescent="0.25">
      <c r="A264" s="5"/>
      <c r="B264" s="5"/>
      <c r="C264" s="5"/>
      <c r="D264" s="5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5.75" customHeight="1" x14ac:dyDescent="0.25">
      <c r="A265" s="5"/>
      <c r="B265" s="5"/>
      <c r="C265" s="5"/>
      <c r="D265" s="5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5.75" customHeight="1" x14ac:dyDescent="0.25">
      <c r="A266" s="5"/>
      <c r="B266" s="5"/>
      <c r="C266" s="5"/>
      <c r="D266" s="5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5.75" customHeight="1" x14ac:dyDescent="0.25">
      <c r="A267" s="5"/>
      <c r="B267" s="5"/>
      <c r="C267" s="5"/>
      <c r="D267" s="5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5.75" customHeight="1" x14ac:dyDescent="0.25">
      <c r="A268" s="5"/>
      <c r="B268" s="5"/>
      <c r="C268" s="5"/>
      <c r="D268" s="5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5.75" customHeight="1" x14ac:dyDescent="0.25">
      <c r="A269" s="5"/>
      <c r="B269" s="5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5.75" customHeight="1" x14ac:dyDescent="0.25">
      <c r="A270" s="5"/>
      <c r="B270" s="5"/>
      <c r="C270" s="5"/>
      <c r="D270" s="5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5.75" customHeight="1" x14ac:dyDescent="0.25">
      <c r="A271" s="5"/>
      <c r="B271" s="5"/>
      <c r="C271" s="5"/>
      <c r="D271" s="5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5.75" customHeight="1" x14ac:dyDescent="0.25">
      <c r="A272" s="5"/>
      <c r="B272" s="5"/>
      <c r="C272" s="5"/>
      <c r="D272" s="5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5.75" customHeight="1" x14ac:dyDescent="0.25">
      <c r="A273" s="5"/>
      <c r="B273" s="5"/>
      <c r="C273" s="5"/>
      <c r="D273" s="5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5.75" customHeight="1" x14ac:dyDescent="0.25">
      <c r="A274" s="5"/>
      <c r="B274" s="5"/>
      <c r="C274" s="5"/>
      <c r="D274" s="5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5.75" customHeight="1" x14ac:dyDescent="0.25">
      <c r="A275" s="5"/>
      <c r="B275" s="5"/>
      <c r="C275" s="5"/>
      <c r="D275" s="5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5.75" customHeight="1" x14ac:dyDescent="0.25">
      <c r="A276" s="5"/>
      <c r="B276" s="5"/>
      <c r="C276" s="5"/>
      <c r="D276" s="5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5.75" customHeight="1" x14ac:dyDescent="0.25">
      <c r="A277" s="5"/>
      <c r="B277" s="5"/>
      <c r="C277" s="5"/>
      <c r="D277" s="5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5.75" customHeight="1" x14ac:dyDescent="0.25">
      <c r="A278" s="5"/>
      <c r="B278" s="5"/>
      <c r="C278" s="5"/>
      <c r="D278" s="5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</sheetData>
  <mergeCells count="15">
    <mergeCell ref="Q8:Q9"/>
    <mergeCell ref="R8:R9"/>
    <mergeCell ref="A78:C78"/>
    <mergeCell ref="A7:D7"/>
    <mergeCell ref="E7:O7"/>
    <mergeCell ref="A8:A10"/>
    <mergeCell ref="B8:B10"/>
    <mergeCell ref="P8:P9"/>
    <mergeCell ref="A5:D5"/>
    <mergeCell ref="E5:O5"/>
    <mergeCell ref="P5:R5"/>
    <mergeCell ref="A6:D6"/>
    <mergeCell ref="E6:G6"/>
    <mergeCell ref="H6:J6"/>
    <mergeCell ref="K6:O6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&amp;C&amp;10&amp;Kffffff&amp;A</oddHeader>
    <oddFooter>&amp;C&amp;10&amp;KffffffPage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E792-2522-4D36-963D-AEF3F2BA4E8E}">
  <dimension ref="A1:R79"/>
  <sheetViews>
    <sheetView topLeftCell="D1" workbookViewId="0">
      <selection activeCell="A5" sqref="A5:R7"/>
    </sheetView>
  </sheetViews>
  <sheetFormatPr defaultRowHeight="15" x14ac:dyDescent="0.25"/>
  <cols>
    <col min="2" max="2" width="15.6328125" customWidth="1"/>
    <col min="3" max="3" width="18.54296875" customWidth="1"/>
  </cols>
  <sheetData>
    <row r="1" spans="1:18" ht="15.6" x14ac:dyDescent="0.25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</row>
    <row r="2" spans="1:18" ht="15.6" x14ac:dyDescent="0.25">
      <c r="A2" s="1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</row>
    <row r="3" spans="1:18" ht="15.6" x14ac:dyDescent="0.25">
      <c r="A3" s="1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</row>
    <row r="4" spans="1:18" ht="16.2" thickBot="1" x14ac:dyDescent="0.3">
      <c r="A4" s="1"/>
      <c r="B4" s="2"/>
      <c r="C4" s="2"/>
      <c r="D4" s="2"/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</row>
    <row r="5" spans="1:18" ht="16.2" thickBot="1" x14ac:dyDescent="0.3">
      <c r="A5" s="59" t="s">
        <v>14</v>
      </c>
      <c r="B5" s="59"/>
      <c r="C5" s="59"/>
      <c r="D5" s="59"/>
      <c r="E5" s="60" t="s">
        <v>15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1"/>
      <c r="Q5" s="61"/>
      <c r="R5" s="61"/>
    </row>
    <row r="6" spans="1:18" ht="16.8" thickTop="1" thickBot="1" x14ac:dyDescent="0.3">
      <c r="A6" s="62" t="s">
        <v>16</v>
      </c>
      <c r="B6" s="62"/>
      <c r="C6" s="62"/>
      <c r="D6" s="62"/>
      <c r="E6" s="63" t="s">
        <v>90</v>
      </c>
      <c r="F6" s="64"/>
      <c r="G6" s="64"/>
      <c r="H6" s="65" t="s">
        <v>93</v>
      </c>
      <c r="I6" s="66"/>
      <c r="J6" s="66"/>
      <c r="K6" s="67" t="s">
        <v>17</v>
      </c>
      <c r="L6" s="67"/>
      <c r="M6" s="67"/>
      <c r="N6" s="67"/>
      <c r="O6" s="67"/>
      <c r="P6" s="11"/>
      <c r="Q6" s="11"/>
      <c r="R6" s="12"/>
    </row>
    <row r="7" spans="1:18" ht="16.8" thickTop="1" thickBot="1" x14ac:dyDescent="0.35">
      <c r="A7" s="54" t="s">
        <v>0</v>
      </c>
      <c r="B7" s="54"/>
      <c r="C7" s="54"/>
      <c r="D7" s="54"/>
      <c r="E7" s="55" t="s">
        <v>92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13"/>
      <c r="Q7" s="14"/>
      <c r="R7" s="15"/>
    </row>
    <row r="8" spans="1:18" ht="16.2" thickBot="1" x14ac:dyDescent="0.35">
      <c r="A8" s="57" t="s">
        <v>1</v>
      </c>
      <c r="B8" s="58" t="s">
        <v>2</v>
      </c>
      <c r="C8" s="16"/>
      <c r="D8" s="17" t="s">
        <v>3</v>
      </c>
      <c r="E8" s="18">
        <v>3</v>
      </c>
      <c r="F8" s="19">
        <v>3</v>
      </c>
      <c r="G8" s="19">
        <v>3</v>
      </c>
      <c r="H8" s="19">
        <v>4</v>
      </c>
      <c r="I8" s="19">
        <v>4</v>
      </c>
      <c r="J8" s="19">
        <v>3</v>
      </c>
      <c r="K8" s="19">
        <v>3</v>
      </c>
      <c r="L8" s="19">
        <v>3</v>
      </c>
      <c r="M8" s="19">
        <v>3</v>
      </c>
      <c r="N8" s="19">
        <v>4</v>
      </c>
      <c r="O8" s="19">
        <v>4</v>
      </c>
      <c r="P8" s="52" t="s">
        <v>4</v>
      </c>
      <c r="Q8" s="51" t="s">
        <v>6</v>
      </c>
      <c r="R8" s="51" t="s">
        <v>7</v>
      </c>
    </row>
    <row r="9" spans="1:18" ht="16.8" thickTop="1" thickBot="1" x14ac:dyDescent="0.35">
      <c r="A9" s="57"/>
      <c r="B9" s="57"/>
      <c r="C9" s="6" t="s">
        <v>19</v>
      </c>
      <c r="D9" s="20" t="s">
        <v>8</v>
      </c>
      <c r="E9" s="21">
        <v>1</v>
      </c>
      <c r="F9" s="22">
        <v>2</v>
      </c>
      <c r="G9" s="22">
        <v>3</v>
      </c>
      <c r="H9" s="22">
        <v>4</v>
      </c>
      <c r="I9" s="22">
        <v>5</v>
      </c>
      <c r="J9" s="23" t="s">
        <v>20</v>
      </c>
      <c r="K9" s="23" t="s">
        <v>21</v>
      </c>
      <c r="L9" s="23" t="s">
        <v>22</v>
      </c>
      <c r="M9" s="23" t="s">
        <v>23</v>
      </c>
      <c r="N9" s="23" t="s">
        <v>24</v>
      </c>
      <c r="O9" s="23" t="s">
        <v>25</v>
      </c>
      <c r="P9" s="52"/>
      <c r="Q9" s="52"/>
      <c r="R9" s="52"/>
    </row>
    <row r="10" spans="1:18" ht="16.8" thickTop="1" thickBot="1" x14ac:dyDescent="0.35">
      <c r="A10" s="57"/>
      <c r="B10" s="57"/>
      <c r="C10" s="7"/>
      <c r="D10" s="24" t="s">
        <v>9</v>
      </c>
      <c r="E10" s="25">
        <v>2</v>
      </c>
      <c r="F10" s="26">
        <v>2</v>
      </c>
      <c r="G10" s="26">
        <v>2</v>
      </c>
      <c r="H10" s="26">
        <v>2</v>
      </c>
      <c r="I10" s="26">
        <v>2</v>
      </c>
      <c r="J10" s="26">
        <v>13</v>
      </c>
      <c r="K10" s="26">
        <v>13</v>
      </c>
      <c r="L10" s="26">
        <v>13</v>
      </c>
      <c r="M10" s="26">
        <v>13</v>
      </c>
      <c r="N10" s="26">
        <v>14</v>
      </c>
      <c r="O10" s="26">
        <v>14</v>
      </c>
      <c r="P10" s="26">
        <v>50</v>
      </c>
      <c r="Q10" s="27">
        <v>32</v>
      </c>
      <c r="R10" s="27">
        <v>18</v>
      </c>
    </row>
    <row r="11" spans="1:18" ht="16.8" thickTop="1" thickBot="1" x14ac:dyDescent="0.35">
      <c r="A11" s="43">
        <v>1</v>
      </c>
      <c r="B11" s="47">
        <v>511523205001</v>
      </c>
      <c r="C11" s="44" t="s">
        <v>26</v>
      </c>
      <c r="D11" s="2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50">
        <f>E11+F11+G11+H11+I11+J11+K11+L11+M11+N11+O11</f>
        <v>0</v>
      </c>
      <c r="Q11" s="9">
        <f>E11+F11+I11+J11+K11+L11+M11+N11</f>
        <v>0</v>
      </c>
      <c r="R11" s="9">
        <f>G11+H11+O11</f>
        <v>0</v>
      </c>
    </row>
    <row r="12" spans="1:18" ht="16.8" thickTop="1" thickBot="1" x14ac:dyDescent="0.35">
      <c r="A12" s="43">
        <v>2</v>
      </c>
      <c r="B12" s="47">
        <v>511523205002</v>
      </c>
      <c r="C12" s="44" t="s">
        <v>27</v>
      </c>
      <c r="D12" s="28"/>
      <c r="E12" s="29">
        <v>1</v>
      </c>
      <c r="F12" s="29">
        <v>2</v>
      </c>
      <c r="G12" s="29">
        <v>1</v>
      </c>
      <c r="H12" s="29">
        <v>1</v>
      </c>
      <c r="I12" s="29">
        <v>1</v>
      </c>
      <c r="J12" s="29">
        <v>10</v>
      </c>
      <c r="K12" s="29"/>
      <c r="L12" s="29">
        <v>10</v>
      </c>
      <c r="M12" s="29">
        <v>10</v>
      </c>
      <c r="N12" s="29"/>
      <c r="O12" s="29"/>
      <c r="P12" s="50">
        <f t="shared" ref="P12:P74" si="0">E12+F12+G12+H12+I12+J12+K12+L12+M12+N12+O12</f>
        <v>36</v>
      </c>
      <c r="Q12" s="9">
        <f t="shared" ref="Q12:Q74" si="1">E12+F12+I12+J12+K12+L12+M12+N12</f>
        <v>34</v>
      </c>
      <c r="R12" s="9">
        <f t="shared" ref="R12:R74" si="2">G12+H12+O12</f>
        <v>2</v>
      </c>
    </row>
    <row r="13" spans="1:18" ht="16.8" thickTop="1" thickBot="1" x14ac:dyDescent="0.35">
      <c r="A13" s="43">
        <v>3</v>
      </c>
      <c r="B13" s="47">
        <v>511523205003</v>
      </c>
      <c r="C13" s="44" t="s">
        <v>28</v>
      </c>
      <c r="D13" s="28"/>
      <c r="E13" s="29">
        <v>1</v>
      </c>
      <c r="F13" s="29">
        <v>2</v>
      </c>
      <c r="G13" s="29">
        <v>1</v>
      </c>
      <c r="H13" s="29">
        <v>1</v>
      </c>
      <c r="I13" s="29">
        <v>0</v>
      </c>
      <c r="J13" s="29">
        <v>10</v>
      </c>
      <c r="K13" s="29"/>
      <c r="L13" s="29">
        <v>10</v>
      </c>
      <c r="M13" s="29">
        <v>8</v>
      </c>
      <c r="N13" s="29"/>
      <c r="O13" s="29"/>
      <c r="P13" s="50">
        <f t="shared" si="0"/>
        <v>33</v>
      </c>
      <c r="Q13" s="9">
        <f t="shared" si="1"/>
        <v>31</v>
      </c>
      <c r="R13" s="9">
        <f t="shared" si="2"/>
        <v>2</v>
      </c>
    </row>
    <row r="14" spans="1:18" ht="16.8" thickTop="1" thickBot="1" x14ac:dyDescent="0.35">
      <c r="A14" s="43">
        <v>4</v>
      </c>
      <c r="B14" s="47">
        <v>511523205004</v>
      </c>
      <c r="C14" s="44" t="s">
        <v>29</v>
      </c>
      <c r="D14" s="28"/>
      <c r="E14" s="29">
        <v>1</v>
      </c>
      <c r="F14" s="29">
        <v>2</v>
      </c>
      <c r="G14" s="29">
        <v>1</v>
      </c>
      <c r="H14" s="29">
        <v>2</v>
      </c>
      <c r="I14" s="29">
        <v>1</v>
      </c>
      <c r="J14" s="29">
        <v>10</v>
      </c>
      <c r="K14" s="29"/>
      <c r="L14" s="29">
        <v>10</v>
      </c>
      <c r="M14" s="29">
        <v>10</v>
      </c>
      <c r="N14" s="29"/>
      <c r="O14" s="29"/>
      <c r="P14" s="50">
        <f t="shared" si="0"/>
        <v>37</v>
      </c>
      <c r="Q14" s="9">
        <f t="shared" si="1"/>
        <v>34</v>
      </c>
      <c r="R14" s="9">
        <f t="shared" si="2"/>
        <v>3</v>
      </c>
    </row>
    <row r="15" spans="1:18" ht="16.8" thickTop="1" thickBot="1" x14ac:dyDescent="0.35">
      <c r="A15" s="43">
        <v>5</v>
      </c>
      <c r="B15" s="47">
        <v>511523205005</v>
      </c>
      <c r="C15" s="44" t="s">
        <v>30</v>
      </c>
      <c r="D15" s="28"/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/>
      <c r="K15" s="29">
        <v>3</v>
      </c>
      <c r="L15" s="29"/>
      <c r="M15" s="29"/>
      <c r="N15" s="29"/>
      <c r="O15" s="29"/>
      <c r="P15" s="50">
        <f t="shared" si="0"/>
        <v>8</v>
      </c>
      <c r="Q15" s="9">
        <f t="shared" si="1"/>
        <v>6</v>
      </c>
      <c r="R15" s="9">
        <f t="shared" si="2"/>
        <v>2</v>
      </c>
    </row>
    <row r="16" spans="1:18" ht="16.8" thickTop="1" thickBot="1" x14ac:dyDescent="0.35">
      <c r="A16" s="43">
        <v>6</v>
      </c>
      <c r="B16" s="47">
        <v>511523205006</v>
      </c>
      <c r="C16" s="44" t="s">
        <v>31</v>
      </c>
      <c r="D16" s="28"/>
      <c r="E16" s="29">
        <v>1</v>
      </c>
      <c r="F16" s="29">
        <v>2</v>
      </c>
      <c r="G16" s="29">
        <v>1</v>
      </c>
      <c r="H16" s="29">
        <v>1</v>
      </c>
      <c r="I16" s="29">
        <v>2</v>
      </c>
      <c r="J16" s="29">
        <v>10</v>
      </c>
      <c r="K16" s="29"/>
      <c r="L16" s="29"/>
      <c r="M16" s="29"/>
      <c r="N16" s="29">
        <v>10</v>
      </c>
      <c r="O16" s="29"/>
      <c r="P16" s="50">
        <f t="shared" si="0"/>
        <v>27</v>
      </c>
      <c r="Q16" s="9">
        <f t="shared" si="1"/>
        <v>25</v>
      </c>
      <c r="R16" s="9">
        <f t="shared" si="2"/>
        <v>2</v>
      </c>
    </row>
    <row r="17" spans="1:18" ht="16.8" thickTop="1" thickBot="1" x14ac:dyDescent="0.35">
      <c r="A17" s="43">
        <v>7</v>
      </c>
      <c r="B17" s="47">
        <v>511523205007</v>
      </c>
      <c r="C17" s="44" t="s">
        <v>32</v>
      </c>
      <c r="D17" s="28"/>
      <c r="E17" s="29">
        <v>1</v>
      </c>
      <c r="F17" s="29">
        <v>1</v>
      </c>
      <c r="G17" s="29">
        <v>1</v>
      </c>
      <c r="H17" s="29">
        <v>1</v>
      </c>
      <c r="I17" s="29">
        <v>2</v>
      </c>
      <c r="J17" s="29">
        <v>3</v>
      </c>
      <c r="K17" s="29"/>
      <c r="L17" s="29"/>
      <c r="M17" s="29"/>
      <c r="N17" s="29"/>
      <c r="O17" s="29"/>
      <c r="P17" s="50">
        <f t="shared" si="0"/>
        <v>9</v>
      </c>
      <c r="Q17" s="9">
        <f t="shared" si="1"/>
        <v>7</v>
      </c>
      <c r="R17" s="9">
        <f t="shared" si="2"/>
        <v>2</v>
      </c>
    </row>
    <row r="18" spans="1:18" ht="16.8" thickTop="1" thickBot="1" x14ac:dyDescent="0.35">
      <c r="A18" s="43">
        <v>8</v>
      </c>
      <c r="B18" s="47">
        <v>511523205008</v>
      </c>
      <c r="C18" s="44" t="s">
        <v>33</v>
      </c>
      <c r="D18" s="28"/>
      <c r="E18" s="29">
        <v>1</v>
      </c>
      <c r="F18" s="29"/>
      <c r="G18" s="29"/>
      <c r="H18" s="29"/>
      <c r="I18" s="29"/>
      <c r="J18" s="29"/>
      <c r="K18" s="29">
        <v>6</v>
      </c>
      <c r="L18" s="29"/>
      <c r="M18" s="29"/>
      <c r="N18" s="29"/>
      <c r="O18" s="29"/>
      <c r="P18" s="50">
        <f t="shared" si="0"/>
        <v>7</v>
      </c>
      <c r="Q18" s="9">
        <f t="shared" si="1"/>
        <v>7</v>
      </c>
      <c r="R18" s="9">
        <f t="shared" si="2"/>
        <v>0</v>
      </c>
    </row>
    <row r="19" spans="1:18" ht="16.8" thickTop="1" thickBot="1" x14ac:dyDescent="0.35">
      <c r="A19" s="43">
        <v>9</v>
      </c>
      <c r="B19" s="47">
        <v>511523205009</v>
      </c>
      <c r="C19" s="44" t="s">
        <v>34</v>
      </c>
      <c r="D19" s="28"/>
      <c r="E19" s="29">
        <v>1</v>
      </c>
      <c r="F19" s="29">
        <v>1</v>
      </c>
      <c r="G19" s="29">
        <v>1</v>
      </c>
      <c r="H19" s="29"/>
      <c r="I19" s="29"/>
      <c r="J19" s="29"/>
      <c r="K19" s="29"/>
      <c r="L19" s="29">
        <v>8</v>
      </c>
      <c r="M19" s="29"/>
      <c r="N19" s="29"/>
      <c r="O19" s="29"/>
      <c r="P19" s="50">
        <f t="shared" si="0"/>
        <v>11</v>
      </c>
      <c r="Q19" s="9">
        <f t="shared" si="1"/>
        <v>10</v>
      </c>
      <c r="R19" s="9">
        <f t="shared" si="2"/>
        <v>1</v>
      </c>
    </row>
    <row r="20" spans="1:18" ht="16.8" thickTop="1" thickBot="1" x14ac:dyDescent="0.35">
      <c r="A20" s="43">
        <v>10</v>
      </c>
      <c r="B20" s="47">
        <v>511523205010</v>
      </c>
      <c r="C20" s="44" t="s">
        <v>35</v>
      </c>
      <c r="D20" s="28"/>
      <c r="E20" s="29">
        <v>2</v>
      </c>
      <c r="F20" s="29">
        <v>1</v>
      </c>
      <c r="G20" s="29">
        <v>2</v>
      </c>
      <c r="H20" s="29">
        <v>2</v>
      </c>
      <c r="I20" s="29">
        <v>2</v>
      </c>
      <c r="J20" s="29">
        <v>10</v>
      </c>
      <c r="K20" s="29"/>
      <c r="L20" s="29"/>
      <c r="M20" s="29">
        <v>10</v>
      </c>
      <c r="N20" s="29">
        <v>10</v>
      </c>
      <c r="O20" s="29"/>
      <c r="P20" s="50">
        <f t="shared" si="0"/>
        <v>39</v>
      </c>
      <c r="Q20" s="9">
        <f t="shared" si="1"/>
        <v>35</v>
      </c>
      <c r="R20" s="9">
        <f t="shared" si="2"/>
        <v>4</v>
      </c>
    </row>
    <row r="21" spans="1:18" ht="16.8" thickTop="1" thickBot="1" x14ac:dyDescent="0.35">
      <c r="A21" s="43">
        <v>11</v>
      </c>
      <c r="B21" s="47">
        <v>511523205011</v>
      </c>
      <c r="C21" s="44" t="s">
        <v>36</v>
      </c>
      <c r="D21" s="28"/>
      <c r="E21" s="29"/>
      <c r="F21" s="29"/>
      <c r="G21" s="29"/>
      <c r="H21" s="29"/>
      <c r="I21" s="29"/>
      <c r="J21" s="29"/>
      <c r="K21" s="29">
        <v>5</v>
      </c>
      <c r="L21" s="29"/>
      <c r="M21" s="29">
        <v>2</v>
      </c>
      <c r="N21" s="29"/>
      <c r="O21" s="29"/>
      <c r="P21" s="50">
        <f t="shared" si="0"/>
        <v>7</v>
      </c>
      <c r="Q21" s="9">
        <f t="shared" si="1"/>
        <v>7</v>
      </c>
      <c r="R21" s="9">
        <f t="shared" si="2"/>
        <v>0</v>
      </c>
    </row>
    <row r="22" spans="1:18" ht="16.8" thickTop="1" thickBot="1" x14ac:dyDescent="0.35">
      <c r="A22" s="43">
        <v>12</v>
      </c>
      <c r="B22" s="47">
        <v>511523205012</v>
      </c>
      <c r="C22" s="44" t="s">
        <v>37</v>
      </c>
      <c r="D22" s="28"/>
      <c r="E22" s="29">
        <v>1</v>
      </c>
      <c r="F22" s="29">
        <v>2</v>
      </c>
      <c r="G22" s="29">
        <v>1</v>
      </c>
      <c r="H22" s="29">
        <v>1</v>
      </c>
      <c r="I22" s="29">
        <v>1</v>
      </c>
      <c r="J22" s="29">
        <v>10</v>
      </c>
      <c r="K22" s="29"/>
      <c r="L22" s="29">
        <v>9</v>
      </c>
      <c r="M22" s="29">
        <v>3</v>
      </c>
      <c r="N22" s="29"/>
      <c r="O22" s="29"/>
      <c r="P22" s="50">
        <f t="shared" si="0"/>
        <v>28</v>
      </c>
      <c r="Q22" s="9">
        <f t="shared" si="1"/>
        <v>26</v>
      </c>
      <c r="R22" s="9">
        <f t="shared" si="2"/>
        <v>2</v>
      </c>
    </row>
    <row r="23" spans="1:18" ht="16.8" thickTop="1" thickBot="1" x14ac:dyDescent="0.3">
      <c r="A23" s="43">
        <v>13</v>
      </c>
      <c r="B23" s="47">
        <v>511523205013</v>
      </c>
      <c r="C23" s="44" t="s">
        <v>38</v>
      </c>
      <c r="D23" s="28"/>
      <c r="E23" s="30">
        <v>1</v>
      </c>
      <c r="F23" s="30">
        <v>2</v>
      </c>
      <c r="G23" s="30">
        <v>2</v>
      </c>
      <c r="H23" s="30">
        <v>1</v>
      </c>
      <c r="I23" s="30">
        <v>2</v>
      </c>
      <c r="J23" s="30"/>
      <c r="K23" s="30">
        <v>10</v>
      </c>
      <c r="L23" s="30"/>
      <c r="M23" s="30">
        <v>10</v>
      </c>
      <c r="N23" s="30">
        <v>1</v>
      </c>
      <c r="O23" s="30"/>
      <c r="P23" s="50">
        <f t="shared" si="0"/>
        <v>29</v>
      </c>
      <c r="Q23" s="9">
        <f t="shared" si="1"/>
        <v>26</v>
      </c>
      <c r="R23" s="9">
        <f t="shared" si="2"/>
        <v>3</v>
      </c>
    </row>
    <row r="24" spans="1:18" ht="16.8" thickTop="1" thickBot="1" x14ac:dyDescent="0.35">
      <c r="A24" s="43">
        <v>14</v>
      </c>
      <c r="B24" s="47">
        <v>511523205014</v>
      </c>
      <c r="C24" s="44" t="s">
        <v>39</v>
      </c>
      <c r="D24" s="28"/>
      <c r="E24" s="29">
        <v>1</v>
      </c>
      <c r="F24" s="29">
        <v>1</v>
      </c>
      <c r="G24" s="29">
        <v>1</v>
      </c>
      <c r="H24" s="29">
        <v>2</v>
      </c>
      <c r="I24" s="29">
        <v>2</v>
      </c>
      <c r="J24" s="29">
        <v>10</v>
      </c>
      <c r="K24" s="29"/>
      <c r="L24" s="29">
        <v>10</v>
      </c>
      <c r="M24" s="29"/>
      <c r="N24" s="29">
        <v>10</v>
      </c>
      <c r="O24" s="29"/>
      <c r="P24" s="50">
        <f t="shared" si="0"/>
        <v>37</v>
      </c>
      <c r="Q24" s="9">
        <f t="shared" si="1"/>
        <v>34</v>
      </c>
      <c r="R24" s="9">
        <f t="shared" si="2"/>
        <v>3</v>
      </c>
    </row>
    <row r="25" spans="1:18" ht="16.8" thickTop="1" thickBot="1" x14ac:dyDescent="0.35">
      <c r="A25" s="43">
        <v>15</v>
      </c>
      <c r="B25" s="47">
        <v>511523205015</v>
      </c>
      <c r="C25" s="44" t="s">
        <v>40</v>
      </c>
      <c r="D25" s="28"/>
      <c r="E25" s="29">
        <v>1</v>
      </c>
      <c r="F25" s="29">
        <v>1</v>
      </c>
      <c r="G25" s="29">
        <v>2</v>
      </c>
      <c r="H25" s="29">
        <v>1</v>
      </c>
      <c r="I25" s="29">
        <v>1</v>
      </c>
      <c r="J25" s="29">
        <v>9</v>
      </c>
      <c r="K25" s="29"/>
      <c r="L25" s="29">
        <v>10</v>
      </c>
      <c r="M25" s="29"/>
      <c r="N25" s="29">
        <v>11</v>
      </c>
      <c r="O25" s="29"/>
      <c r="P25" s="50">
        <f t="shared" si="0"/>
        <v>36</v>
      </c>
      <c r="Q25" s="9">
        <f t="shared" si="1"/>
        <v>33</v>
      </c>
      <c r="R25" s="9">
        <f t="shared" si="2"/>
        <v>3</v>
      </c>
    </row>
    <row r="26" spans="1:18" ht="16.8" thickTop="1" thickBot="1" x14ac:dyDescent="0.35">
      <c r="A26" s="43">
        <v>16</v>
      </c>
      <c r="B26" s="47">
        <v>511523205016</v>
      </c>
      <c r="C26" s="44" t="s">
        <v>41</v>
      </c>
      <c r="D26" s="28"/>
      <c r="E26" s="29">
        <v>1</v>
      </c>
      <c r="F26" s="29">
        <v>2</v>
      </c>
      <c r="G26" s="29">
        <v>1</v>
      </c>
      <c r="H26" s="29">
        <v>1</v>
      </c>
      <c r="I26" s="29">
        <v>2</v>
      </c>
      <c r="J26" s="29"/>
      <c r="K26" s="29">
        <v>7</v>
      </c>
      <c r="L26" s="29"/>
      <c r="M26" s="29">
        <v>2</v>
      </c>
      <c r="N26" s="29">
        <v>6</v>
      </c>
      <c r="O26" s="29"/>
      <c r="P26" s="50">
        <f t="shared" si="0"/>
        <v>22</v>
      </c>
      <c r="Q26" s="9">
        <f t="shared" si="1"/>
        <v>20</v>
      </c>
      <c r="R26" s="9">
        <f t="shared" si="2"/>
        <v>2</v>
      </c>
    </row>
    <row r="27" spans="1:18" ht="16.8" thickTop="1" thickBot="1" x14ac:dyDescent="0.35">
      <c r="A27" s="43">
        <v>17</v>
      </c>
      <c r="B27" s="47">
        <v>511523205017</v>
      </c>
      <c r="C27" s="44" t="s">
        <v>42</v>
      </c>
      <c r="D27" s="28"/>
      <c r="E27" s="29">
        <v>1</v>
      </c>
      <c r="F27" s="29">
        <v>2</v>
      </c>
      <c r="G27" s="29">
        <v>2</v>
      </c>
      <c r="H27" s="29">
        <v>1</v>
      </c>
      <c r="I27" s="29">
        <v>1</v>
      </c>
      <c r="J27" s="29">
        <v>7</v>
      </c>
      <c r="K27" s="29"/>
      <c r="L27" s="29"/>
      <c r="M27" s="29"/>
      <c r="N27" s="29"/>
      <c r="O27" s="29"/>
      <c r="P27" s="50">
        <f t="shared" si="0"/>
        <v>14</v>
      </c>
      <c r="Q27" s="9">
        <f t="shared" si="1"/>
        <v>11</v>
      </c>
      <c r="R27" s="9">
        <f t="shared" si="2"/>
        <v>3</v>
      </c>
    </row>
    <row r="28" spans="1:18" ht="16.8" thickTop="1" thickBot="1" x14ac:dyDescent="0.35">
      <c r="A28" s="43">
        <v>18</v>
      </c>
      <c r="B28" s="48">
        <v>511523205018</v>
      </c>
      <c r="C28" s="45" t="s">
        <v>43</v>
      </c>
      <c r="D28" s="28"/>
      <c r="E28" s="29">
        <v>2</v>
      </c>
      <c r="F28" s="29">
        <v>2</v>
      </c>
      <c r="G28" s="29">
        <v>1</v>
      </c>
      <c r="H28" s="29">
        <v>1</v>
      </c>
      <c r="I28" s="29">
        <v>2</v>
      </c>
      <c r="J28" s="29">
        <v>8</v>
      </c>
      <c r="K28" s="29"/>
      <c r="L28" s="29">
        <v>9</v>
      </c>
      <c r="M28" s="29"/>
      <c r="N28" s="29"/>
      <c r="O28" s="29"/>
      <c r="P28" s="50">
        <f t="shared" si="0"/>
        <v>25</v>
      </c>
      <c r="Q28" s="9">
        <f t="shared" si="1"/>
        <v>23</v>
      </c>
      <c r="R28" s="9">
        <f t="shared" si="2"/>
        <v>2</v>
      </c>
    </row>
    <row r="29" spans="1:18" ht="16.8" thickTop="1" thickBot="1" x14ac:dyDescent="0.35">
      <c r="A29" s="43">
        <v>19</v>
      </c>
      <c r="B29" s="47">
        <v>511523205019</v>
      </c>
      <c r="C29" s="44" t="s">
        <v>44</v>
      </c>
      <c r="D29" s="28"/>
      <c r="E29" s="29"/>
      <c r="F29" s="29">
        <v>1</v>
      </c>
      <c r="G29" s="29">
        <v>1</v>
      </c>
      <c r="H29" s="29"/>
      <c r="I29" s="29"/>
      <c r="J29" s="29">
        <v>10</v>
      </c>
      <c r="K29" s="29"/>
      <c r="L29" s="29"/>
      <c r="M29" s="29">
        <v>8</v>
      </c>
      <c r="N29" s="29"/>
      <c r="O29" s="29">
        <v>9</v>
      </c>
      <c r="P29" s="50">
        <f t="shared" si="0"/>
        <v>29</v>
      </c>
      <c r="Q29" s="9">
        <f t="shared" si="1"/>
        <v>19</v>
      </c>
      <c r="R29" s="9">
        <f t="shared" si="2"/>
        <v>10</v>
      </c>
    </row>
    <row r="30" spans="1:18" ht="16.8" thickTop="1" thickBot="1" x14ac:dyDescent="0.35">
      <c r="A30" s="43">
        <v>20</v>
      </c>
      <c r="B30" s="47">
        <v>511523205020</v>
      </c>
      <c r="C30" s="44" t="s">
        <v>45</v>
      </c>
      <c r="D30" s="28"/>
      <c r="E30" s="29">
        <v>1</v>
      </c>
      <c r="F30" s="29">
        <v>1</v>
      </c>
      <c r="G30" s="29">
        <v>0</v>
      </c>
      <c r="H30" s="29">
        <v>1</v>
      </c>
      <c r="I30" s="29">
        <v>0</v>
      </c>
      <c r="J30" s="29">
        <v>6</v>
      </c>
      <c r="K30" s="29"/>
      <c r="L30" s="29"/>
      <c r="M30" s="29"/>
      <c r="N30" s="29">
        <v>6</v>
      </c>
      <c r="O30" s="29"/>
      <c r="P30" s="50">
        <f t="shared" si="0"/>
        <v>15</v>
      </c>
      <c r="Q30" s="9">
        <f t="shared" si="1"/>
        <v>14</v>
      </c>
      <c r="R30" s="9">
        <f t="shared" si="2"/>
        <v>1</v>
      </c>
    </row>
    <row r="31" spans="1:18" ht="16.8" thickTop="1" thickBot="1" x14ac:dyDescent="0.3">
      <c r="A31" s="43">
        <v>21</v>
      </c>
      <c r="B31" s="47">
        <v>511523205021</v>
      </c>
      <c r="C31" s="44" t="s">
        <v>46</v>
      </c>
      <c r="D31" s="28"/>
      <c r="E31" s="30">
        <v>2</v>
      </c>
      <c r="F31" s="30">
        <v>1</v>
      </c>
      <c r="G31" s="30">
        <v>2</v>
      </c>
      <c r="H31" s="30">
        <v>1</v>
      </c>
      <c r="I31" s="30">
        <v>2</v>
      </c>
      <c r="J31" s="30"/>
      <c r="K31" s="30">
        <v>10</v>
      </c>
      <c r="L31" s="30"/>
      <c r="M31" s="30">
        <v>9</v>
      </c>
      <c r="N31" s="30">
        <v>9</v>
      </c>
      <c r="O31" s="30"/>
      <c r="P31" s="50">
        <f t="shared" si="0"/>
        <v>36</v>
      </c>
      <c r="Q31" s="9">
        <f t="shared" si="1"/>
        <v>33</v>
      </c>
      <c r="R31" s="9">
        <f t="shared" si="2"/>
        <v>3</v>
      </c>
    </row>
    <row r="32" spans="1:18" ht="16.8" thickTop="1" thickBot="1" x14ac:dyDescent="0.35">
      <c r="A32" s="43">
        <v>22</v>
      </c>
      <c r="B32" s="47">
        <v>511523205023</v>
      </c>
      <c r="C32" s="44" t="s">
        <v>47</v>
      </c>
      <c r="D32" s="28"/>
      <c r="E32" s="29">
        <v>2</v>
      </c>
      <c r="F32" s="29">
        <v>2</v>
      </c>
      <c r="G32" s="29">
        <v>1</v>
      </c>
      <c r="H32" s="29">
        <v>1</v>
      </c>
      <c r="I32" s="29">
        <v>1</v>
      </c>
      <c r="J32" s="29"/>
      <c r="K32" s="29">
        <v>10</v>
      </c>
      <c r="L32" s="29">
        <v>10</v>
      </c>
      <c r="M32" s="29"/>
      <c r="N32" s="29"/>
      <c r="O32" s="29">
        <v>9</v>
      </c>
      <c r="P32" s="50">
        <f t="shared" si="0"/>
        <v>36</v>
      </c>
      <c r="Q32" s="9">
        <f t="shared" si="1"/>
        <v>25</v>
      </c>
      <c r="R32" s="9">
        <f t="shared" si="2"/>
        <v>11</v>
      </c>
    </row>
    <row r="33" spans="1:18" ht="16.8" thickTop="1" thickBot="1" x14ac:dyDescent="0.35">
      <c r="A33" s="43">
        <v>23</v>
      </c>
      <c r="B33" s="47">
        <v>511523205025</v>
      </c>
      <c r="C33" s="44" t="s">
        <v>48</v>
      </c>
      <c r="D33" s="28"/>
      <c r="E33" s="29">
        <v>1</v>
      </c>
      <c r="F33" s="29">
        <v>1</v>
      </c>
      <c r="G33" s="29">
        <v>1</v>
      </c>
      <c r="H33" s="29">
        <v>2</v>
      </c>
      <c r="I33" s="29">
        <v>1</v>
      </c>
      <c r="J33" s="29">
        <v>10</v>
      </c>
      <c r="K33" s="29"/>
      <c r="L33" s="29"/>
      <c r="M33" s="29"/>
      <c r="N33" s="29">
        <v>9</v>
      </c>
      <c r="O33" s="29"/>
      <c r="P33" s="50">
        <f t="shared" si="0"/>
        <v>25</v>
      </c>
      <c r="Q33" s="9">
        <f t="shared" si="1"/>
        <v>22</v>
      </c>
      <c r="R33" s="9">
        <f t="shared" si="2"/>
        <v>3</v>
      </c>
    </row>
    <row r="34" spans="1:18" ht="16.8" thickTop="1" thickBot="1" x14ac:dyDescent="0.35">
      <c r="A34" s="43">
        <v>24</v>
      </c>
      <c r="B34" s="47">
        <v>511523205026</v>
      </c>
      <c r="C34" s="44" t="s">
        <v>49</v>
      </c>
      <c r="D34" s="28"/>
      <c r="E34" s="29">
        <v>1</v>
      </c>
      <c r="F34" s="29">
        <v>1</v>
      </c>
      <c r="G34" s="29">
        <v>1</v>
      </c>
      <c r="H34" s="29">
        <v>2</v>
      </c>
      <c r="I34" s="29">
        <v>1</v>
      </c>
      <c r="J34" s="29"/>
      <c r="K34" s="29">
        <v>4</v>
      </c>
      <c r="L34" s="29"/>
      <c r="M34" s="29"/>
      <c r="N34" s="29">
        <v>8</v>
      </c>
      <c r="O34" s="29"/>
      <c r="P34" s="50">
        <f t="shared" si="0"/>
        <v>18</v>
      </c>
      <c r="Q34" s="9">
        <f t="shared" si="1"/>
        <v>15</v>
      </c>
      <c r="R34" s="9">
        <f t="shared" si="2"/>
        <v>3</v>
      </c>
    </row>
    <row r="35" spans="1:18" ht="16.8" thickTop="1" thickBot="1" x14ac:dyDescent="0.35">
      <c r="A35" s="43">
        <v>25</v>
      </c>
      <c r="B35" s="47">
        <v>511523205027</v>
      </c>
      <c r="C35" s="44" t="s">
        <v>50</v>
      </c>
      <c r="D35" s="28"/>
      <c r="E35" s="29">
        <v>1</v>
      </c>
      <c r="F35" s="29">
        <v>1</v>
      </c>
      <c r="G35" s="29"/>
      <c r="H35" s="29"/>
      <c r="I35" s="29"/>
      <c r="J35" s="29">
        <v>4</v>
      </c>
      <c r="K35" s="29"/>
      <c r="L35" s="29">
        <v>3</v>
      </c>
      <c r="M35" s="29"/>
      <c r="N35" s="29"/>
      <c r="O35" s="29"/>
      <c r="P35" s="50">
        <f t="shared" si="0"/>
        <v>9</v>
      </c>
      <c r="Q35" s="9">
        <f t="shared" si="1"/>
        <v>9</v>
      </c>
      <c r="R35" s="9">
        <f t="shared" si="2"/>
        <v>0</v>
      </c>
    </row>
    <row r="36" spans="1:18" ht="16.8" thickTop="1" thickBot="1" x14ac:dyDescent="0.35">
      <c r="A36" s="43">
        <v>26</v>
      </c>
      <c r="B36" s="47">
        <v>511523205028</v>
      </c>
      <c r="C36" s="44" t="s">
        <v>51</v>
      </c>
      <c r="D36" s="28"/>
      <c r="E36" s="29">
        <v>2</v>
      </c>
      <c r="F36" s="29">
        <v>1</v>
      </c>
      <c r="G36" s="29">
        <v>1</v>
      </c>
      <c r="H36" s="29">
        <v>2</v>
      </c>
      <c r="I36" s="29">
        <v>2</v>
      </c>
      <c r="J36" s="29"/>
      <c r="K36" s="29">
        <v>8</v>
      </c>
      <c r="L36" s="29">
        <v>9</v>
      </c>
      <c r="M36" s="29"/>
      <c r="N36" s="29">
        <v>10</v>
      </c>
      <c r="O36" s="29"/>
      <c r="P36" s="50">
        <f t="shared" si="0"/>
        <v>35</v>
      </c>
      <c r="Q36" s="9">
        <f t="shared" si="1"/>
        <v>32</v>
      </c>
      <c r="R36" s="9">
        <f t="shared" si="2"/>
        <v>3</v>
      </c>
    </row>
    <row r="37" spans="1:18" ht="16.8" thickTop="1" thickBot="1" x14ac:dyDescent="0.35">
      <c r="A37" s="43">
        <v>27</v>
      </c>
      <c r="B37" s="47">
        <v>511523205029</v>
      </c>
      <c r="C37" s="44" t="s">
        <v>52</v>
      </c>
      <c r="D37" s="28"/>
      <c r="E37" s="29">
        <v>1</v>
      </c>
      <c r="F37" s="29">
        <v>1</v>
      </c>
      <c r="G37" s="29">
        <v>1</v>
      </c>
      <c r="H37" s="29">
        <v>1</v>
      </c>
      <c r="I37" s="29"/>
      <c r="J37" s="29"/>
      <c r="K37" s="29">
        <v>8</v>
      </c>
      <c r="L37" s="29"/>
      <c r="M37" s="29"/>
      <c r="N37" s="29">
        <v>7</v>
      </c>
      <c r="O37" s="29"/>
      <c r="P37" s="50">
        <f t="shared" si="0"/>
        <v>19</v>
      </c>
      <c r="Q37" s="9">
        <f t="shared" si="1"/>
        <v>17</v>
      </c>
      <c r="R37" s="9">
        <f t="shared" si="2"/>
        <v>2</v>
      </c>
    </row>
    <row r="38" spans="1:18" ht="16.8" thickTop="1" thickBot="1" x14ac:dyDescent="0.35">
      <c r="A38" s="43">
        <v>28</v>
      </c>
      <c r="B38" s="47">
        <v>511523205030</v>
      </c>
      <c r="C38" s="44" t="s">
        <v>53</v>
      </c>
      <c r="D38" s="28"/>
      <c r="E38" s="29">
        <v>1</v>
      </c>
      <c r="F38" s="29">
        <v>1</v>
      </c>
      <c r="G38" s="29">
        <v>2</v>
      </c>
      <c r="H38" s="29">
        <v>1</v>
      </c>
      <c r="I38" s="29">
        <v>1</v>
      </c>
      <c r="J38" s="29"/>
      <c r="K38" s="29">
        <v>8</v>
      </c>
      <c r="L38" s="29">
        <v>3</v>
      </c>
      <c r="M38" s="29"/>
      <c r="N38" s="29">
        <v>9</v>
      </c>
      <c r="O38" s="29"/>
      <c r="P38" s="50">
        <f t="shared" si="0"/>
        <v>26</v>
      </c>
      <c r="Q38" s="9">
        <f t="shared" si="1"/>
        <v>23</v>
      </c>
      <c r="R38" s="9">
        <f t="shared" si="2"/>
        <v>3</v>
      </c>
    </row>
    <row r="39" spans="1:18" ht="16.8" thickTop="1" thickBot="1" x14ac:dyDescent="0.35">
      <c r="A39" s="43">
        <v>29</v>
      </c>
      <c r="B39" s="47">
        <v>511523205031</v>
      </c>
      <c r="C39" s="44" t="s">
        <v>54</v>
      </c>
      <c r="D39" s="28"/>
      <c r="E39" s="29">
        <v>1</v>
      </c>
      <c r="F39" s="29">
        <v>1</v>
      </c>
      <c r="G39" s="29">
        <v>1</v>
      </c>
      <c r="H39" s="29">
        <v>1</v>
      </c>
      <c r="I39" s="29"/>
      <c r="J39" s="29">
        <v>9</v>
      </c>
      <c r="K39" s="29"/>
      <c r="L39" s="29">
        <v>5</v>
      </c>
      <c r="M39" s="29"/>
      <c r="N39" s="29"/>
      <c r="O39" s="29"/>
      <c r="P39" s="50">
        <f t="shared" si="0"/>
        <v>18</v>
      </c>
      <c r="Q39" s="9">
        <f t="shared" si="1"/>
        <v>16</v>
      </c>
      <c r="R39" s="9">
        <f t="shared" si="2"/>
        <v>2</v>
      </c>
    </row>
    <row r="40" spans="1:18" ht="16.8" thickTop="1" thickBot="1" x14ac:dyDescent="0.35">
      <c r="A40" s="43">
        <v>30</v>
      </c>
      <c r="B40" s="47">
        <v>511523205032</v>
      </c>
      <c r="C40" s="44" t="s">
        <v>55</v>
      </c>
      <c r="D40" s="28"/>
      <c r="E40" s="29">
        <v>1</v>
      </c>
      <c r="F40" s="29">
        <v>1</v>
      </c>
      <c r="G40" s="29">
        <v>1</v>
      </c>
      <c r="H40" s="29">
        <v>1</v>
      </c>
      <c r="I40" s="29"/>
      <c r="J40" s="29"/>
      <c r="K40" s="29">
        <v>8</v>
      </c>
      <c r="L40" s="29">
        <v>6</v>
      </c>
      <c r="M40" s="29"/>
      <c r="N40" s="29">
        <v>9</v>
      </c>
      <c r="O40" s="29"/>
      <c r="P40" s="50">
        <f t="shared" si="0"/>
        <v>27</v>
      </c>
      <c r="Q40" s="9">
        <f t="shared" si="1"/>
        <v>25</v>
      </c>
      <c r="R40" s="9">
        <f t="shared" si="2"/>
        <v>2</v>
      </c>
    </row>
    <row r="41" spans="1:18" ht="16.8" thickTop="1" thickBot="1" x14ac:dyDescent="0.35">
      <c r="A41" s="43">
        <v>31</v>
      </c>
      <c r="B41" s="47">
        <v>511523205033</v>
      </c>
      <c r="C41" s="44" t="s">
        <v>56</v>
      </c>
      <c r="D41" s="28"/>
      <c r="E41" s="29">
        <v>1</v>
      </c>
      <c r="F41" s="29">
        <v>1</v>
      </c>
      <c r="G41" s="29">
        <v>1</v>
      </c>
      <c r="H41" s="29">
        <v>1</v>
      </c>
      <c r="I41" s="29">
        <v>1</v>
      </c>
      <c r="J41" s="29"/>
      <c r="K41" s="29">
        <v>9</v>
      </c>
      <c r="L41" s="29"/>
      <c r="M41" s="29">
        <v>8</v>
      </c>
      <c r="N41" s="29">
        <v>8</v>
      </c>
      <c r="O41" s="29"/>
      <c r="P41" s="50">
        <f t="shared" si="0"/>
        <v>30</v>
      </c>
      <c r="Q41" s="9">
        <f t="shared" si="1"/>
        <v>28</v>
      </c>
      <c r="R41" s="9">
        <f t="shared" si="2"/>
        <v>2</v>
      </c>
    </row>
    <row r="42" spans="1:18" ht="16.8" thickTop="1" thickBot="1" x14ac:dyDescent="0.35">
      <c r="A42" s="43">
        <v>32</v>
      </c>
      <c r="B42" s="47">
        <v>511523205034</v>
      </c>
      <c r="C42" s="44" t="s">
        <v>57</v>
      </c>
      <c r="D42" s="28"/>
      <c r="E42" s="29">
        <v>1</v>
      </c>
      <c r="F42" s="29">
        <v>2</v>
      </c>
      <c r="G42" s="29">
        <v>2</v>
      </c>
      <c r="H42" s="29">
        <v>1</v>
      </c>
      <c r="I42" s="29">
        <v>2</v>
      </c>
      <c r="J42" s="29">
        <v>10</v>
      </c>
      <c r="K42" s="29"/>
      <c r="L42" s="29">
        <v>10</v>
      </c>
      <c r="M42" s="29"/>
      <c r="N42" s="29"/>
      <c r="O42" s="29">
        <v>10</v>
      </c>
      <c r="P42" s="50">
        <f t="shared" si="0"/>
        <v>38</v>
      </c>
      <c r="Q42" s="9">
        <f t="shared" si="1"/>
        <v>25</v>
      </c>
      <c r="R42" s="9">
        <f t="shared" si="2"/>
        <v>13</v>
      </c>
    </row>
    <row r="43" spans="1:18" ht="16.8" thickTop="1" thickBot="1" x14ac:dyDescent="0.35">
      <c r="A43" s="43">
        <v>33</v>
      </c>
      <c r="B43" s="47">
        <v>511523205035</v>
      </c>
      <c r="C43" s="44" t="s">
        <v>58</v>
      </c>
      <c r="D43" s="28"/>
      <c r="E43" s="29"/>
      <c r="F43" s="29">
        <v>1</v>
      </c>
      <c r="G43" s="29"/>
      <c r="H43" s="29"/>
      <c r="I43" s="29"/>
      <c r="J43" s="29">
        <v>10</v>
      </c>
      <c r="K43" s="29"/>
      <c r="L43" s="29">
        <v>7</v>
      </c>
      <c r="M43" s="29"/>
      <c r="N43" s="29"/>
      <c r="O43" s="29"/>
      <c r="P43" s="50">
        <f t="shared" si="0"/>
        <v>18</v>
      </c>
      <c r="Q43" s="9">
        <f t="shared" si="1"/>
        <v>18</v>
      </c>
      <c r="R43" s="9">
        <f t="shared" si="2"/>
        <v>0</v>
      </c>
    </row>
    <row r="44" spans="1:18" ht="16.8" thickTop="1" thickBot="1" x14ac:dyDescent="0.35">
      <c r="A44" s="43">
        <v>34</v>
      </c>
      <c r="B44" s="47">
        <v>511523205036</v>
      </c>
      <c r="C44" s="44" t="s">
        <v>59</v>
      </c>
      <c r="D44" s="28"/>
      <c r="E44" s="29">
        <v>1</v>
      </c>
      <c r="F44" s="29"/>
      <c r="G44" s="29"/>
      <c r="H44" s="29">
        <v>1</v>
      </c>
      <c r="I44" s="29"/>
      <c r="J44" s="29">
        <v>6</v>
      </c>
      <c r="K44" s="29"/>
      <c r="L44" s="29"/>
      <c r="M44" s="29">
        <v>5</v>
      </c>
      <c r="N44" s="29"/>
      <c r="O44" s="29"/>
      <c r="P44" s="50">
        <f t="shared" si="0"/>
        <v>13</v>
      </c>
      <c r="Q44" s="9">
        <f t="shared" si="1"/>
        <v>12</v>
      </c>
      <c r="R44" s="9">
        <f t="shared" si="2"/>
        <v>1</v>
      </c>
    </row>
    <row r="45" spans="1:18" ht="16.8" thickTop="1" thickBot="1" x14ac:dyDescent="0.35">
      <c r="A45" s="43">
        <v>35</v>
      </c>
      <c r="B45" s="47">
        <v>511523205037</v>
      </c>
      <c r="C45" s="44" t="s">
        <v>60</v>
      </c>
      <c r="D45" s="28"/>
      <c r="E45" s="29"/>
      <c r="F45" s="29">
        <v>1</v>
      </c>
      <c r="G45" s="29"/>
      <c r="H45" s="29"/>
      <c r="I45" s="29"/>
      <c r="J45" s="29"/>
      <c r="K45" s="29">
        <v>8</v>
      </c>
      <c r="L45" s="29"/>
      <c r="M45" s="29">
        <v>5</v>
      </c>
      <c r="N45" s="29"/>
      <c r="O45" s="29">
        <v>8</v>
      </c>
      <c r="P45" s="50">
        <f t="shared" si="0"/>
        <v>22</v>
      </c>
      <c r="Q45" s="9">
        <f t="shared" si="1"/>
        <v>14</v>
      </c>
      <c r="R45" s="9">
        <f t="shared" si="2"/>
        <v>8</v>
      </c>
    </row>
    <row r="46" spans="1:18" ht="16.8" thickTop="1" thickBot="1" x14ac:dyDescent="0.3">
      <c r="A46" s="43">
        <v>36</v>
      </c>
      <c r="B46" s="47">
        <v>511523205038</v>
      </c>
      <c r="C46" s="44" t="s">
        <v>61</v>
      </c>
      <c r="D46" s="28"/>
      <c r="E46" s="30">
        <v>2</v>
      </c>
      <c r="F46" s="30">
        <v>1</v>
      </c>
      <c r="G46" s="30">
        <v>1</v>
      </c>
      <c r="H46" s="30">
        <v>2</v>
      </c>
      <c r="I46" s="30">
        <v>2</v>
      </c>
      <c r="J46" s="30">
        <v>10</v>
      </c>
      <c r="K46" s="30"/>
      <c r="L46" s="30">
        <v>10</v>
      </c>
      <c r="M46" s="30"/>
      <c r="N46" s="30">
        <v>11</v>
      </c>
      <c r="O46" s="30"/>
      <c r="P46" s="50">
        <f t="shared" si="0"/>
        <v>39</v>
      </c>
      <c r="Q46" s="9">
        <f t="shared" si="1"/>
        <v>36</v>
      </c>
      <c r="R46" s="9">
        <f t="shared" si="2"/>
        <v>3</v>
      </c>
    </row>
    <row r="47" spans="1:18" ht="16.8" thickTop="1" thickBot="1" x14ac:dyDescent="0.35">
      <c r="A47" s="43">
        <v>37</v>
      </c>
      <c r="B47" s="47">
        <v>511523205039</v>
      </c>
      <c r="C47" s="44" t="s">
        <v>62</v>
      </c>
      <c r="D47" s="28"/>
      <c r="E47" s="29">
        <v>1</v>
      </c>
      <c r="F47" s="29">
        <v>1</v>
      </c>
      <c r="G47" s="29">
        <v>1</v>
      </c>
      <c r="H47" s="29"/>
      <c r="I47" s="29"/>
      <c r="J47" s="29">
        <v>8</v>
      </c>
      <c r="K47" s="29"/>
      <c r="L47" s="29"/>
      <c r="M47" s="29">
        <v>10</v>
      </c>
      <c r="N47" s="29">
        <v>4</v>
      </c>
      <c r="O47" s="29"/>
      <c r="P47" s="50">
        <f t="shared" si="0"/>
        <v>25</v>
      </c>
      <c r="Q47" s="9">
        <f t="shared" si="1"/>
        <v>24</v>
      </c>
      <c r="R47" s="9">
        <f t="shared" si="2"/>
        <v>1</v>
      </c>
    </row>
    <row r="48" spans="1:18" ht="16.8" thickTop="1" thickBot="1" x14ac:dyDescent="0.3">
      <c r="A48" s="43">
        <v>38</v>
      </c>
      <c r="B48" s="47">
        <v>511523205040</v>
      </c>
      <c r="C48" s="44" t="s">
        <v>63</v>
      </c>
      <c r="D48" s="28"/>
      <c r="E48" s="30">
        <v>1</v>
      </c>
      <c r="F48" s="30">
        <v>1</v>
      </c>
      <c r="G48" s="30">
        <v>1</v>
      </c>
      <c r="H48" s="30">
        <v>2</v>
      </c>
      <c r="I48" s="30">
        <v>1</v>
      </c>
      <c r="J48" s="30"/>
      <c r="K48" s="30">
        <v>9</v>
      </c>
      <c r="L48" s="30">
        <v>8</v>
      </c>
      <c r="M48" s="30"/>
      <c r="N48" s="30"/>
      <c r="O48" s="30">
        <v>8</v>
      </c>
      <c r="P48" s="50">
        <f t="shared" si="0"/>
        <v>31</v>
      </c>
      <c r="Q48" s="9">
        <f t="shared" si="1"/>
        <v>20</v>
      </c>
      <c r="R48" s="9">
        <f t="shared" si="2"/>
        <v>11</v>
      </c>
    </row>
    <row r="49" spans="1:18" ht="16.8" thickTop="1" thickBot="1" x14ac:dyDescent="0.35">
      <c r="A49" s="43">
        <v>39</v>
      </c>
      <c r="B49" s="47">
        <v>511523205041</v>
      </c>
      <c r="C49" s="44" t="s">
        <v>64</v>
      </c>
      <c r="D49" s="28"/>
      <c r="E49" s="29">
        <v>2</v>
      </c>
      <c r="F49" s="29">
        <v>1</v>
      </c>
      <c r="G49" s="29">
        <v>1</v>
      </c>
      <c r="H49" s="29">
        <v>2</v>
      </c>
      <c r="I49" s="29">
        <v>1</v>
      </c>
      <c r="J49" s="29">
        <v>9</v>
      </c>
      <c r="K49" s="29">
        <v>9</v>
      </c>
      <c r="L49" s="29"/>
      <c r="M49" s="29">
        <v>10</v>
      </c>
      <c r="N49" s="29"/>
      <c r="O49" s="29"/>
      <c r="P49" s="50">
        <f t="shared" si="0"/>
        <v>35</v>
      </c>
      <c r="Q49" s="9">
        <f t="shared" si="1"/>
        <v>32</v>
      </c>
      <c r="R49" s="9">
        <f t="shared" si="2"/>
        <v>3</v>
      </c>
    </row>
    <row r="50" spans="1:18" ht="16.8" thickTop="1" thickBot="1" x14ac:dyDescent="0.35">
      <c r="A50" s="43">
        <v>40</v>
      </c>
      <c r="B50" s="47">
        <v>511523205042</v>
      </c>
      <c r="C50" s="44" t="s">
        <v>65</v>
      </c>
      <c r="D50" s="28"/>
      <c r="E50" s="29">
        <v>1</v>
      </c>
      <c r="F50" s="29">
        <v>2</v>
      </c>
      <c r="G50" s="29">
        <v>1</v>
      </c>
      <c r="H50" s="29">
        <v>1</v>
      </c>
      <c r="I50" s="29">
        <v>2</v>
      </c>
      <c r="J50" s="29">
        <v>10</v>
      </c>
      <c r="K50" s="29"/>
      <c r="L50" s="29">
        <v>10</v>
      </c>
      <c r="M50" s="29"/>
      <c r="N50" s="29">
        <v>10</v>
      </c>
      <c r="O50" s="29"/>
      <c r="P50" s="50">
        <f t="shared" si="0"/>
        <v>37</v>
      </c>
      <c r="Q50" s="9">
        <f t="shared" si="1"/>
        <v>35</v>
      </c>
      <c r="R50" s="9">
        <f t="shared" si="2"/>
        <v>2</v>
      </c>
    </row>
    <row r="51" spans="1:18" ht="16.8" thickTop="1" thickBot="1" x14ac:dyDescent="0.35">
      <c r="A51" s="43">
        <v>41</v>
      </c>
      <c r="B51" s="47">
        <v>511523205043</v>
      </c>
      <c r="C51" s="44" t="s">
        <v>66</v>
      </c>
      <c r="D51" s="28"/>
      <c r="E51" s="29">
        <v>2</v>
      </c>
      <c r="F51" s="29">
        <v>1</v>
      </c>
      <c r="G51" s="29">
        <v>2</v>
      </c>
      <c r="H51" s="29">
        <v>2</v>
      </c>
      <c r="I51" s="29">
        <v>2</v>
      </c>
      <c r="J51" s="29"/>
      <c r="K51" s="29">
        <v>10</v>
      </c>
      <c r="L51" s="29">
        <v>4</v>
      </c>
      <c r="M51" s="29"/>
      <c r="N51" s="29">
        <v>10</v>
      </c>
      <c r="O51" s="29"/>
      <c r="P51" s="50">
        <f t="shared" si="0"/>
        <v>33</v>
      </c>
      <c r="Q51" s="9">
        <f t="shared" si="1"/>
        <v>29</v>
      </c>
      <c r="R51" s="9">
        <f t="shared" si="2"/>
        <v>4</v>
      </c>
    </row>
    <row r="52" spans="1:18" ht="16.8" thickTop="1" thickBot="1" x14ac:dyDescent="0.35">
      <c r="A52" s="43">
        <v>42</v>
      </c>
      <c r="B52" s="47">
        <v>511523205044</v>
      </c>
      <c r="C52" s="44" t="s">
        <v>67</v>
      </c>
      <c r="D52" s="28"/>
      <c r="E52" s="29">
        <v>1</v>
      </c>
      <c r="F52" s="29"/>
      <c r="G52" s="29">
        <v>1</v>
      </c>
      <c r="H52" s="29"/>
      <c r="I52" s="29"/>
      <c r="J52" s="29">
        <v>3</v>
      </c>
      <c r="K52" s="29"/>
      <c r="L52" s="29"/>
      <c r="M52" s="29"/>
      <c r="N52" s="29"/>
      <c r="O52" s="29"/>
      <c r="P52" s="50">
        <f t="shared" si="0"/>
        <v>5</v>
      </c>
      <c r="Q52" s="9">
        <f t="shared" si="1"/>
        <v>4</v>
      </c>
      <c r="R52" s="9">
        <f t="shared" si="2"/>
        <v>1</v>
      </c>
    </row>
    <row r="53" spans="1:18" ht="16.8" thickTop="1" thickBot="1" x14ac:dyDescent="0.35">
      <c r="A53" s="43">
        <v>43</v>
      </c>
      <c r="B53" s="47">
        <v>511523205045</v>
      </c>
      <c r="C53" s="44" t="s">
        <v>68</v>
      </c>
      <c r="D53" s="28"/>
      <c r="E53" s="29">
        <v>1</v>
      </c>
      <c r="F53" s="29">
        <v>2</v>
      </c>
      <c r="G53" s="29">
        <v>1</v>
      </c>
      <c r="H53" s="29">
        <v>1</v>
      </c>
      <c r="I53" s="29">
        <v>1</v>
      </c>
      <c r="J53" s="29"/>
      <c r="K53" s="29">
        <v>8</v>
      </c>
      <c r="L53" s="29"/>
      <c r="M53" s="29">
        <v>8</v>
      </c>
      <c r="N53" s="29">
        <v>10</v>
      </c>
      <c r="O53" s="29"/>
      <c r="P53" s="50">
        <f t="shared" si="0"/>
        <v>32</v>
      </c>
      <c r="Q53" s="9">
        <f t="shared" si="1"/>
        <v>30</v>
      </c>
      <c r="R53" s="9">
        <f t="shared" si="2"/>
        <v>2</v>
      </c>
    </row>
    <row r="54" spans="1:18" ht="16.8" thickTop="1" thickBot="1" x14ac:dyDescent="0.35">
      <c r="A54" s="43">
        <v>44</v>
      </c>
      <c r="B54" s="47">
        <v>511523205046</v>
      </c>
      <c r="C54" s="44" t="s">
        <v>69</v>
      </c>
      <c r="D54" s="28"/>
      <c r="E54" s="29">
        <v>1</v>
      </c>
      <c r="F54" s="29">
        <v>1</v>
      </c>
      <c r="G54" s="29">
        <v>1</v>
      </c>
      <c r="H54" s="29">
        <v>1</v>
      </c>
      <c r="I54" s="29"/>
      <c r="J54" s="29">
        <v>9</v>
      </c>
      <c r="K54" s="29"/>
      <c r="L54" s="29"/>
      <c r="M54" s="29"/>
      <c r="N54" s="29">
        <v>7</v>
      </c>
      <c r="O54" s="29"/>
      <c r="P54" s="50">
        <f t="shared" si="0"/>
        <v>20</v>
      </c>
      <c r="Q54" s="9">
        <f t="shared" si="1"/>
        <v>18</v>
      </c>
      <c r="R54" s="9">
        <f t="shared" si="2"/>
        <v>2</v>
      </c>
    </row>
    <row r="55" spans="1:18" ht="16.8" thickTop="1" thickBot="1" x14ac:dyDescent="0.35">
      <c r="A55" s="43">
        <v>45</v>
      </c>
      <c r="B55" s="47">
        <v>511523205047</v>
      </c>
      <c r="C55" s="44" t="s">
        <v>70</v>
      </c>
      <c r="D55" s="28"/>
      <c r="E55" s="29">
        <v>1</v>
      </c>
      <c r="F55" s="29">
        <v>1</v>
      </c>
      <c r="G55" s="29">
        <v>1</v>
      </c>
      <c r="H55" s="29">
        <v>0</v>
      </c>
      <c r="I55" s="29">
        <v>0</v>
      </c>
      <c r="J55" s="29"/>
      <c r="K55" s="29">
        <v>6</v>
      </c>
      <c r="L55" s="29"/>
      <c r="M55" s="29">
        <v>4</v>
      </c>
      <c r="N55" s="29"/>
      <c r="O55" s="29">
        <v>6</v>
      </c>
      <c r="P55" s="50">
        <f t="shared" si="0"/>
        <v>19</v>
      </c>
      <c r="Q55" s="9">
        <f t="shared" si="1"/>
        <v>12</v>
      </c>
      <c r="R55" s="9">
        <f t="shared" si="2"/>
        <v>7</v>
      </c>
    </row>
    <row r="56" spans="1:18" ht="16.8" thickTop="1" thickBot="1" x14ac:dyDescent="0.35">
      <c r="A56" s="43">
        <v>46</v>
      </c>
      <c r="B56" s="47">
        <v>511523205048</v>
      </c>
      <c r="C56" s="44" t="s">
        <v>71</v>
      </c>
      <c r="D56" s="29"/>
      <c r="E56" s="31"/>
      <c r="F56" s="29"/>
      <c r="G56" s="29"/>
      <c r="H56" s="29"/>
      <c r="I56" s="29"/>
      <c r="J56" s="29">
        <v>3</v>
      </c>
      <c r="K56" s="29"/>
      <c r="L56" s="29">
        <v>5</v>
      </c>
      <c r="M56" s="29"/>
      <c r="N56" s="29"/>
      <c r="O56" s="29"/>
      <c r="P56" s="50">
        <f t="shared" si="0"/>
        <v>8</v>
      </c>
      <c r="Q56" s="9">
        <f t="shared" si="1"/>
        <v>8</v>
      </c>
      <c r="R56" s="9">
        <f t="shared" si="2"/>
        <v>0</v>
      </c>
    </row>
    <row r="57" spans="1:18" ht="16.8" thickTop="1" thickBot="1" x14ac:dyDescent="0.35">
      <c r="A57" s="43">
        <v>47</v>
      </c>
      <c r="B57" s="47">
        <v>511523205049</v>
      </c>
      <c r="C57" s="44" t="s">
        <v>72</v>
      </c>
      <c r="D57" s="29"/>
      <c r="E57" s="31">
        <v>1</v>
      </c>
      <c r="F57" s="31"/>
      <c r="G57" s="31">
        <v>1</v>
      </c>
      <c r="H57" s="31">
        <v>1</v>
      </c>
      <c r="I57" s="31"/>
      <c r="J57" s="29">
        <v>10</v>
      </c>
      <c r="K57" s="29"/>
      <c r="L57" s="29"/>
      <c r="M57" s="29"/>
      <c r="N57" s="29">
        <v>3</v>
      </c>
      <c r="O57" s="29"/>
      <c r="P57" s="50">
        <f t="shared" si="0"/>
        <v>16</v>
      </c>
      <c r="Q57" s="9">
        <f t="shared" si="1"/>
        <v>14</v>
      </c>
      <c r="R57" s="9">
        <f t="shared" si="2"/>
        <v>2</v>
      </c>
    </row>
    <row r="58" spans="1:18" ht="16.8" thickTop="1" thickBot="1" x14ac:dyDescent="0.35">
      <c r="A58" s="43">
        <v>48</v>
      </c>
      <c r="B58" s="47">
        <v>511523205050</v>
      </c>
      <c r="C58" s="44" t="s">
        <v>73</v>
      </c>
      <c r="D58" s="29"/>
      <c r="E58" s="31"/>
      <c r="F58" s="29">
        <v>1</v>
      </c>
      <c r="G58" s="29"/>
      <c r="H58" s="29">
        <v>2</v>
      </c>
      <c r="I58" s="29">
        <v>1</v>
      </c>
      <c r="J58" s="29">
        <v>3</v>
      </c>
      <c r="K58" s="29"/>
      <c r="L58" s="29">
        <v>4</v>
      </c>
      <c r="M58" s="29"/>
      <c r="N58" s="29">
        <v>6</v>
      </c>
      <c r="O58" s="29"/>
      <c r="P58" s="50">
        <f t="shared" si="0"/>
        <v>17</v>
      </c>
      <c r="Q58" s="9">
        <f t="shared" si="1"/>
        <v>15</v>
      </c>
      <c r="R58" s="9">
        <f t="shared" si="2"/>
        <v>2</v>
      </c>
    </row>
    <row r="59" spans="1:18" ht="16.8" thickTop="1" thickBot="1" x14ac:dyDescent="0.35">
      <c r="A59" s="43">
        <v>49</v>
      </c>
      <c r="B59" s="47">
        <v>511523205051</v>
      </c>
      <c r="C59" s="44" t="s">
        <v>74</v>
      </c>
      <c r="D59" s="29"/>
      <c r="E59" s="31"/>
      <c r="F59" s="31"/>
      <c r="G59" s="31"/>
      <c r="H59" s="31"/>
      <c r="I59" s="31"/>
      <c r="J59" s="29"/>
      <c r="K59" s="29"/>
      <c r="L59" s="29"/>
      <c r="M59" s="29"/>
      <c r="N59" s="29"/>
      <c r="O59" s="29"/>
      <c r="P59" s="50">
        <f t="shared" si="0"/>
        <v>0</v>
      </c>
      <c r="Q59" s="9">
        <f t="shared" si="1"/>
        <v>0</v>
      </c>
      <c r="R59" s="9">
        <f t="shared" si="2"/>
        <v>0</v>
      </c>
    </row>
    <row r="60" spans="1:18" ht="16.8" thickTop="1" thickBot="1" x14ac:dyDescent="0.35">
      <c r="A60" s="43">
        <v>50</v>
      </c>
      <c r="B60" s="47">
        <v>511523205052</v>
      </c>
      <c r="C60" s="44" t="s">
        <v>75</v>
      </c>
      <c r="D60" s="29"/>
      <c r="E60" s="31"/>
      <c r="F60" s="31"/>
      <c r="G60" s="31">
        <v>1</v>
      </c>
      <c r="H60" s="31">
        <v>1</v>
      </c>
      <c r="I60" s="31"/>
      <c r="J60" s="29"/>
      <c r="K60" s="29">
        <v>6</v>
      </c>
      <c r="L60" s="29"/>
      <c r="M60" s="29">
        <v>5</v>
      </c>
      <c r="N60" s="29">
        <v>1</v>
      </c>
      <c r="O60" s="29"/>
      <c r="P60" s="50">
        <f t="shared" si="0"/>
        <v>14</v>
      </c>
      <c r="Q60" s="9">
        <f t="shared" si="1"/>
        <v>12</v>
      </c>
      <c r="R60" s="9">
        <f t="shared" si="2"/>
        <v>2</v>
      </c>
    </row>
    <row r="61" spans="1:18" ht="16.8" thickTop="1" thickBot="1" x14ac:dyDescent="0.35">
      <c r="A61" s="43">
        <v>51</v>
      </c>
      <c r="B61" s="47">
        <v>511523205053</v>
      </c>
      <c r="C61" s="44" t="s">
        <v>76</v>
      </c>
      <c r="D61" s="29"/>
      <c r="E61" s="31"/>
      <c r="F61" s="31"/>
      <c r="G61" s="31"/>
      <c r="H61" s="31"/>
      <c r="I61" s="31"/>
      <c r="J61" s="29">
        <v>4</v>
      </c>
      <c r="K61" s="29"/>
      <c r="L61" s="29"/>
      <c r="M61" s="29"/>
      <c r="N61" s="29"/>
      <c r="O61" s="29"/>
      <c r="P61" s="50">
        <f t="shared" si="0"/>
        <v>4</v>
      </c>
      <c r="Q61" s="9">
        <f t="shared" si="1"/>
        <v>4</v>
      </c>
      <c r="R61" s="9">
        <f t="shared" si="2"/>
        <v>0</v>
      </c>
    </row>
    <row r="62" spans="1:18" ht="16.8" thickTop="1" thickBot="1" x14ac:dyDescent="0.35">
      <c r="A62" s="43">
        <v>52</v>
      </c>
      <c r="B62" s="47">
        <v>511523205054</v>
      </c>
      <c r="C62" s="44" t="s">
        <v>77</v>
      </c>
      <c r="D62" s="29"/>
      <c r="E62" s="31">
        <v>0</v>
      </c>
      <c r="F62" s="31">
        <v>1</v>
      </c>
      <c r="G62" s="31"/>
      <c r="H62" s="31">
        <v>1</v>
      </c>
      <c r="I62" s="31">
        <v>0</v>
      </c>
      <c r="J62" s="29">
        <v>10</v>
      </c>
      <c r="K62" s="29"/>
      <c r="L62" s="29"/>
      <c r="M62" s="29"/>
      <c r="N62" s="29">
        <v>10</v>
      </c>
      <c r="O62" s="29"/>
      <c r="P62" s="50">
        <f t="shared" si="0"/>
        <v>22</v>
      </c>
      <c r="Q62" s="9">
        <f t="shared" si="1"/>
        <v>21</v>
      </c>
      <c r="R62" s="9">
        <f t="shared" si="2"/>
        <v>1</v>
      </c>
    </row>
    <row r="63" spans="1:18" ht="16.8" thickTop="1" thickBot="1" x14ac:dyDescent="0.35">
      <c r="A63" s="43">
        <v>53</v>
      </c>
      <c r="B63" s="47">
        <v>511523205055</v>
      </c>
      <c r="C63" s="44" t="s">
        <v>78</v>
      </c>
      <c r="D63" s="29"/>
      <c r="E63" s="31">
        <v>2</v>
      </c>
      <c r="F63" s="31">
        <v>1</v>
      </c>
      <c r="G63" s="31">
        <v>2</v>
      </c>
      <c r="H63" s="31">
        <v>2</v>
      </c>
      <c r="I63" s="31">
        <v>2</v>
      </c>
      <c r="J63" s="29">
        <v>10</v>
      </c>
      <c r="K63" s="29"/>
      <c r="L63" s="29">
        <v>4</v>
      </c>
      <c r="M63" s="29">
        <v>10</v>
      </c>
      <c r="N63" s="29"/>
      <c r="O63" s="29"/>
      <c r="P63" s="50">
        <f t="shared" si="0"/>
        <v>33</v>
      </c>
      <c r="Q63" s="9">
        <f t="shared" si="1"/>
        <v>29</v>
      </c>
      <c r="R63" s="9">
        <f t="shared" si="2"/>
        <v>4</v>
      </c>
    </row>
    <row r="64" spans="1:18" ht="16.8" thickTop="1" thickBot="1" x14ac:dyDescent="0.35">
      <c r="A64" s="43">
        <v>54</v>
      </c>
      <c r="B64" s="47">
        <v>511523205056</v>
      </c>
      <c r="C64" s="44" t="s">
        <v>79</v>
      </c>
      <c r="D64" s="29"/>
      <c r="E64" s="31">
        <v>1</v>
      </c>
      <c r="F64" s="29">
        <v>2</v>
      </c>
      <c r="G64" s="29">
        <v>1</v>
      </c>
      <c r="H64" s="29">
        <v>1</v>
      </c>
      <c r="I64" s="29">
        <v>0</v>
      </c>
      <c r="J64" s="29">
        <v>10</v>
      </c>
      <c r="K64" s="29"/>
      <c r="L64" s="29">
        <v>7</v>
      </c>
      <c r="M64" s="29"/>
      <c r="N64" s="29">
        <v>10</v>
      </c>
      <c r="O64" s="29"/>
      <c r="P64" s="50">
        <f t="shared" si="0"/>
        <v>32</v>
      </c>
      <c r="Q64" s="9">
        <f t="shared" si="1"/>
        <v>30</v>
      </c>
      <c r="R64" s="9">
        <f t="shared" si="2"/>
        <v>2</v>
      </c>
    </row>
    <row r="65" spans="1:18" ht="16.8" thickTop="1" thickBot="1" x14ac:dyDescent="0.35">
      <c r="A65" s="43">
        <v>55</v>
      </c>
      <c r="B65" s="47">
        <v>511523205057</v>
      </c>
      <c r="C65" s="44" t="s">
        <v>80</v>
      </c>
      <c r="D65" s="29"/>
      <c r="E65" s="31">
        <v>1</v>
      </c>
      <c r="F65" s="31">
        <v>1</v>
      </c>
      <c r="G65" s="31">
        <v>1</v>
      </c>
      <c r="H65" s="31">
        <v>1</v>
      </c>
      <c r="I65" s="31"/>
      <c r="J65" s="29">
        <v>3</v>
      </c>
      <c r="K65" s="29"/>
      <c r="L65" s="29"/>
      <c r="M65" s="29"/>
      <c r="N65" s="29"/>
      <c r="O65" s="29">
        <v>3</v>
      </c>
      <c r="P65" s="50">
        <f t="shared" si="0"/>
        <v>10</v>
      </c>
      <c r="Q65" s="9">
        <f t="shared" si="1"/>
        <v>5</v>
      </c>
      <c r="R65" s="9">
        <f t="shared" si="2"/>
        <v>5</v>
      </c>
    </row>
    <row r="66" spans="1:18" ht="16.8" thickTop="1" thickBot="1" x14ac:dyDescent="0.35">
      <c r="A66" s="43">
        <v>56</v>
      </c>
      <c r="B66" s="47">
        <v>511523205058</v>
      </c>
      <c r="C66" s="44" t="s">
        <v>81</v>
      </c>
      <c r="D66" s="29"/>
      <c r="E66" s="31"/>
      <c r="F66" s="31">
        <v>1</v>
      </c>
      <c r="G66" s="31">
        <v>1</v>
      </c>
      <c r="H66" s="31"/>
      <c r="I66" s="31"/>
      <c r="J66" s="29"/>
      <c r="K66" s="29">
        <v>4</v>
      </c>
      <c r="L66" s="29">
        <v>3</v>
      </c>
      <c r="M66" s="29"/>
      <c r="N66" s="29"/>
      <c r="O66" s="29">
        <v>3</v>
      </c>
      <c r="P66" s="50">
        <f t="shared" si="0"/>
        <v>12</v>
      </c>
      <c r="Q66" s="9">
        <f t="shared" si="1"/>
        <v>8</v>
      </c>
      <c r="R66" s="9">
        <f t="shared" si="2"/>
        <v>4</v>
      </c>
    </row>
    <row r="67" spans="1:18" ht="16.8" thickTop="1" thickBot="1" x14ac:dyDescent="0.35">
      <c r="A67" s="43">
        <v>57</v>
      </c>
      <c r="B67" s="47">
        <v>511523205059</v>
      </c>
      <c r="C67" s="44" t="s">
        <v>82</v>
      </c>
      <c r="D67" s="29"/>
      <c r="E67" s="31">
        <v>1</v>
      </c>
      <c r="F67" s="31">
        <v>1</v>
      </c>
      <c r="G67" s="31">
        <v>1</v>
      </c>
      <c r="H67" s="31">
        <v>2</v>
      </c>
      <c r="I67" s="31">
        <v>2</v>
      </c>
      <c r="J67" s="29">
        <v>10</v>
      </c>
      <c r="K67" s="29"/>
      <c r="L67" s="29"/>
      <c r="M67" s="29">
        <v>6</v>
      </c>
      <c r="N67" s="29">
        <v>10</v>
      </c>
      <c r="O67" s="29"/>
      <c r="P67" s="50">
        <f t="shared" si="0"/>
        <v>33</v>
      </c>
      <c r="Q67" s="9">
        <f t="shared" si="1"/>
        <v>30</v>
      </c>
      <c r="R67" s="9">
        <f t="shared" si="2"/>
        <v>3</v>
      </c>
    </row>
    <row r="68" spans="1:18" ht="16.8" thickTop="1" thickBot="1" x14ac:dyDescent="0.35">
      <c r="A68" s="43">
        <v>58</v>
      </c>
      <c r="B68" s="47">
        <v>511523205060</v>
      </c>
      <c r="C68" s="46" t="s">
        <v>83</v>
      </c>
      <c r="D68" s="29"/>
      <c r="E68" s="31"/>
      <c r="F68" s="29"/>
      <c r="G68" s="29">
        <v>1</v>
      </c>
      <c r="H68" s="29">
        <v>0</v>
      </c>
      <c r="I68" s="29">
        <v>1</v>
      </c>
      <c r="J68" s="29"/>
      <c r="K68" s="29">
        <v>3</v>
      </c>
      <c r="L68" s="29"/>
      <c r="M68" s="29">
        <v>3</v>
      </c>
      <c r="N68" s="29"/>
      <c r="O68" s="29"/>
      <c r="P68" s="50">
        <f t="shared" si="0"/>
        <v>8</v>
      </c>
      <c r="Q68" s="9">
        <f t="shared" si="1"/>
        <v>7</v>
      </c>
      <c r="R68" s="9">
        <f t="shared" si="2"/>
        <v>1</v>
      </c>
    </row>
    <row r="69" spans="1:18" ht="16.8" thickTop="1" thickBot="1" x14ac:dyDescent="0.35">
      <c r="A69" s="43">
        <v>59</v>
      </c>
      <c r="B69" s="47">
        <v>511523205061</v>
      </c>
      <c r="C69" s="44" t="s">
        <v>84</v>
      </c>
      <c r="D69" s="29"/>
      <c r="E69" s="31">
        <v>1</v>
      </c>
      <c r="F69" s="31">
        <v>2</v>
      </c>
      <c r="G69" s="31">
        <v>2</v>
      </c>
      <c r="H69" s="31">
        <v>2</v>
      </c>
      <c r="I69" s="29">
        <v>2</v>
      </c>
      <c r="J69" s="29">
        <v>9</v>
      </c>
      <c r="K69" s="29"/>
      <c r="L69" s="29">
        <v>10</v>
      </c>
      <c r="M69" s="29"/>
      <c r="N69" s="29"/>
      <c r="O69" s="29"/>
      <c r="P69" s="50">
        <f t="shared" si="0"/>
        <v>28</v>
      </c>
      <c r="Q69" s="9">
        <f t="shared" si="1"/>
        <v>24</v>
      </c>
      <c r="R69" s="9">
        <f t="shared" si="2"/>
        <v>4</v>
      </c>
    </row>
    <row r="70" spans="1:18" ht="16.8" thickTop="1" thickBot="1" x14ac:dyDescent="0.35">
      <c r="A70" s="43">
        <v>60</v>
      </c>
      <c r="B70" s="49">
        <v>511523205062</v>
      </c>
      <c r="C70" s="42" t="s">
        <v>85</v>
      </c>
      <c r="D70" s="36"/>
      <c r="E70" s="37"/>
      <c r="F70" s="37"/>
      <c r="G70" s="37"/>
      <c r="H70" s="37"/>
      <c r="I70" s="36"/>
      <c r="J70" s="36"/>
      <c r="K70" s="36"/>
      <c r="L70" s="36"/>
      <c r="M70" s="36"/>
      <c r="N70" s="36"/>
      <c r="O70" s="36"/>
      <c r="P70" s="50">
        <f t="shared" si="0"/>
        <v>0</v>
      </c>
      <c r="Q70" s="9">
        <f t="shared" si="1"/>
        <v>0</v>
      </c>
      <c r="R70" s="9">
        <f t="shared" si="2"/>
        <v>0</v>
      </c>
    </row>
    <row r="71" spans="1:18" ht="16.8" thickTop="1" thickBot="1" x14ac:dyDescent="0.35">
      <c r="A71" s="43">
        <v>61</v>
      </c>
      <c r="B71" s="49">
        <v>511523205063</v>
      </c>
      <c r="C71" s="35" t="s">
        <v>86</v>
      </c>
      <c r="D71" s="38"/>
      <c r="E71" s="39"/>
      <c r="F71" s="39"/>
      <c r="G71" s="39"/>
      <c r="H71" s="39"/>
      <c r="I71" s="38"/>
      <c r="J71" s="38">
        <v>3</v>
      </c>
      <c r="K71" s="38"/>
      <c r="L71" s="38"/>
      <c r="M71" s="38"/>
      <c r="N71" s="38"/>
      <c r="O71" s="38"/>
      <c r="P71" s="50">
        <f t="shared" si="0"/>
        <v>3</v>
      </c>
      <c r="Q71" s="9">
        <f t="shared" si="1"/>
        <v>3</v>
      </c>
      <c r="R71" s="9">
        <f t="shared" si="2"/>
        <v>0</v>
      </c>
    </row>
    <row r="72" spans="1:18" ht="16.8" thickTop="1" thickBot="1" x14ac:dyDescent="0.35">
      <c r="A72" s="43">
        <v>62</v>
      </c>
      <c r="B72" s="49">
        <v>511523205064</v>
      </c>
      <c r="C72" s="35" t="s">
        <v>87</v>
      </c>
      <c r="D72" s="38"/>
      <c r="E72" s="39">
        <v>1</v>
      </c>
      <c r="F72" s="39">
        <v>1</v>
      </c>
      <c r="G72" s="39">
        <v>1</v>
      </c>
      <c r="H72" s="39">
        <v>1</v>
      </c>
      <c r="I72" s="38">
        <v>1</v>
      </c>
      <c r="J72" s="38">
        <v>6</v>
      </c>
      <c r="K72" s="38"/>
      <c r="L72" s="38"/>
      <c r="M72" s="38">
        <v>3</v>
      </c>
      <c r="N72" s="38"/>
      <c r="O72" s="38">
        <v>3</v>
      </c>
      <c r="P72" s="50">
        <f t="shared" si="0"/>
        <v>17</v>
      </c>
      <c r="Q72" s="9">
        <f t="shared" si="1"/>
        <v>12</v>
      </c>
      <c r="R72" s="9">
        <f t="shared" si="2"/>
        <v>5</v>
      </c>
    </row>
    <row r="73" spans="1:18" ht="16.8" thickTop="1" thickBot="1" x14ac:dyDescent="0.3">
      <c r="A73" s="43">
        <v>63</v>
      </c>
      <c r="B73" s="49">
        <v>511523205301</v>
      </c>
      <c r="C73" s="35" t="s">
        <v>88</v>
      </c>
      <c r="D73" s="41"/>
      <c r="E73" s="41"/>
      <c r="F73" s="40"/>
      <c r="G73" s="41"/>
      <c r="H73" s="41"/>
      <c r="I73" s="41"/>
      <c r="J73" s="41">
        <v>10</v>
      </c>
      <c r="K73" s="41"/>
      <c r="L73" s="41"/>
      <c r="M73" s="41"/>
      <c r="N73" s="41">
        <v>10</v>
      </c>
      <c r="O73" s="41"/>
      <c r="P73" s="50">
        <f t="shared" si="0"/>
        <v>20</v>
      </c>
      <c r="Q73" s="9">
        <f t="shared" si="1"/>
        <v>20</v>
      </c>
      <c r="R73" s="9">
        <f t="shared" si="2"/>
        <v>0</v>
      </c>
    </row>
    <row r="74" spans="1:18" ht="16.8" thickTop="1" thickBot="1" x14ac:dyDescent="0.3">
      <c r="A74" s="43">
        <v>64</v>
      </c>
      <c r="B74" s="49">
        <v>511523205701</v>
      </c>
      <c r="C74" s="35" t="s">
        <v>89</v>
      </c>
      <c r="D74" s="41"/>
      <c r="E74" s="41"/>
      <c r="F74" s="40"/>
      <c r="G74" s="41"/>
      <c r="H74" s="41"/>
      <c r="I74" s="41"/>
      <c r="J74" s="41">
        <v>8</v>
      </c>
      <c r="K74" s="41"/>
      <c r="L74" s="41"/>
      <c r="M74" s="41"/>
      <c r="N74" s="41">
        <v>5</v>
      </c>
      <c r="O74" s="41"/>
      <c r="P74" s="50">
        <f t="shared" si="0"/>
        <v>13</v>
      </c>
      <c r="Q74" s="9">
        <f t="shared" si="1"/>
        <v>13</v>
      </c>
      <c r="R74" s="9">
        <f t="shared" si="2"/>
        <v>0</v>
      </c>
    </row>
    <row r="75" spans="1:18" ht="15.6" thickTop="1" x14ac:dyDescent="0.25"/>
    <row r="77" spans="1:18" ht="15.6" x14ac:dyDescent="0.3">
      <c r="C77" s="34" t="s">
        <v>10</v>
      </c>
      <c r="D77" s="34"/>
      <c r="E77" s="34"/>
      <c r="F77" s="32"/>
      <c r="G77" s="32">
        <f t="shared" ref="G77:Q77" si="3">COUNT(E11:E74)</f>
        <v>48</v>
      </c>
      <c r="H77" s="32">
        <f t="shared" si="3"/>
        <v>49</v>
      </c>
      <c r="I77" s="32">
        <f t="shared" si="3"/>
        <v>48</v>
      </c>
      <c r="J77" s="32">
        <f t="shared" si="3"/>
        <v>46</v>
      </c>
      <c r="K77" s="32">
        <f t="shared" si="3"/>
        <v>38</v>
      </c>
      <c r="L77" s="32">
        <f t="shared" si="3"/>
        <v>39</v>
      </c>
      <c r="M77" s="32">
        <f t="shared" si="3"/>
        <v>22</v>
      </c>
      <c r="N77" s="32">
        <f t="shared" si="3"/>
        <v>26</v>
      </c>
      <c r="O77" s="32">
        <f t="shared" si="3"/>
        <v>22</v>
      </c>
      <c r="P77" s="32">
        <f t="shared" si="3"/>
        <v>29</v>
      </c>
      <c r="Q77" s="32">
        <f t="shared" si="3"/>
        <v>9</v>
      </c>
    </row>
    <row r="78" spans="1:18" ht="15.6" x14ac:dyDescent="0.3">
      <c r="C78" s="34" t="s">
        <v>11</v>
      </c>
      <c r="D78" s="34"/>
      <c r="E78" s="34"/>
      <c r="F78" s="32"/>
      <c r="G78" s="32">
        <f>COUNTIF(E12:E74,"&gt;="&amp;E11*0.5)</f>
        <v>48</v>
      </c>
      <c r="H78" s="32">
        <f t="shared" ref="H78:P78" si="4">COUNTIF(F12:F74,"&gt;="&amp;F11*0.5)</f>
        <v>49</v>
      </c>
      <c r="I78" s="32">
        <f t="shared" si="4"/>
        <v>48</v>
      </c>
      <c r="J78" s="32">
        <f t="shared" si="4"/>
        <v>46</v>
      </c>
      <c r="K78" s="32">
        <f t="shared" si="4"/>
        <v>38</v>
      </c>
      <c r="L78" s="32">
        <f t="shared" si="4"/>
        <v>39</v>
      </c>
      <c r="M78" s="32">
        <f t="shared" si="4"/>
        <v>22</v>
      </c>
      <c r="N78" s="32">
        <f t="shared" si="4"/>
        <v>26</v>
      </c>
      <c r="O78" s="32">
        <f t="shared" si="4"/>
        <v>22</v>
      </c>
      <c r="P78" s="32">
        <f t="shared" si="4"/>
        <v>29</v>
      </c>
      <c r="Q78" s="32">
        <f>COUNTIF(O12:O74,"&gt;="&amp;O11*0.5)</f>
        <v>9</v>
      </c>
    </row>
    <row r="79" spans="1:18" ht="15.6" x14ac:dyDescent="0.3">
      <c r="C79" s="53" t="s">
        <v>12</v>
      </c>
      <c r="D79" s="53"/>
      <c r="E79" s="53"/>
      <c r="F79" s="33" t="str">
        <f t="shared" ref="F79:P79" si="5">IF(F77&gt;0,F78/F77,"")</f>
        <v/>
      </c>
      <c r="G79" s="33">
        <f>IF(G77&gt;0,G78/G77,"")</f>
        <v>1</v>
      </c>
      <c r="H79" s="33">
        <f>IF(H77&gt;0,H78/H77,"")</f>
        <v>1</v>
      </c>
      <c r="I79" s="33">
        <f t="shared" si="5"/>
        <v>1</v>
      </c>
      <c r="J79" s="33">
        <f>IF(J77&gt;0,J78/J77,"")</f>
        <v>1</v>
      </c>
      <c r="K79" s="33">
        <f t="shared" si="5"/>
        <v>1</v>
      </c>
      <c r="L79" s="33">
        <f t="shared" si="5"/>
        <v>1</v>
      </c>
      <c r="M79" s="33">
        <f t="shared" si="5"/>
        <v>1</v>
      </c>
      <c r="N79" s="33">
        <f>IF(N77&gt;0,N78/N77,"")</f>
        <v>1</v>
      </c>
      <c r="O79" s="33">
        <f t="shared" si="5"/>
        <v>1</v>
      </c>
      <c r="P79" s="33">
        <f t="shared" si="5"/>
        <v>1</v>
      </c>
      <c r="Q79" s="33">
        <f>IF(Q77&gt;0,Q78/Q77,"")</f>
        <v>1</v>
      </c>
    </row>
  </sheetData>
  <mergeCells count="15">
    <mergeCell ref="A5:D5"/>
    <mergeCell ref="E5:O5"/>
    <mergeCell ref="P5:R5"/>
    <mergeCell ref="A6:D6"/>
    <mergeCell ref="E6:G6"/>
    <mergeCell ref="H6:J6"/>
    <mergeCell ref="K6:O6"/>
    <mergeCell ref="R8:R9"/>
    <mergeCell ref="C79:E79"/>
    <mergeCell ref="A7:D7"/>
    <mergeCell ref="E7:O7"/>
    <mergeCell ref="A8:A10"/>
    <mergeCell ref="B8:B10"/>
    <mergeCell ref="P8:P9"/>
    <mergeCell ref="Q8:Q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B539-AE95-45A5-8D14-5B0231DB1070}">
  <dimension ref="A1:AF74"/>
  <sheetViews>
    <sheetView tabSelected="1" topLeftCell="A6" zoomScale="61" workbookViewId="0">
      <selection activeCell="H41" sqref="H41"/>
    </sheetView>
  </sheetViews>
  <sheetFormatPr defaultRowHeight="15" x14ac:dyDescent="0.25"/>
  <cols>
    <col min="2" max="2" width="15.6328125" customWidth="1"/>
    <col min="3" max="3" width="18.54296875" customWidth="1"/>
    <col min="4" max="4" width="11.26953125" customWidth="1"/>
  </cols>
  <sheetData>
    <row r="1" spans="1:32" ht="15.6" x14ac:dyDescent="0.25">
      <c r="A1" s="71" t="s">
        <v>14</v>
      </c>
      <c r="B1" s="71"/>
      <c r="C1" s="71"/>
      <c r="D1" s="71"/>
      <c r="E1" s="72" t="s">
        <v>15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</row>
    <row r="2" spans="1:32" ht="15.6" x14ac:dyDescent="0.25">
      <c r="A2" s="71" t="s">
        <v>16</v>
      </c>
      <c r="B2" s="71"/>
      <c r="C2" s="71"/>
      <c r="D2" s="71"/>
      <c r="E2" s="73" t="s">
        <v>90</v>
      </c>
      <c r="F2" s="74"/>
      <c r="G2" s="74"/>
      <c r="H2" s="75" t="s">
        <v>93</v>
      </c>
      <c r="I2" s="71"/>
      <c r="J2" s="71"/>
      <c r="K2" s="74" t="s">
        <v>17</v>
      </c>
      <c r="L2" s="74"/>
      <c r="M2" s="74"/>
      <c r="N2" s="74"/>
      <c r="O2" s="74"/>
      <c r="P2" s="76"/>
      <c r="Q2" s="76"/>
      <c r="R2" s="76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</row>
    <row r="3" spans="1:32" ht="15.6" x14ac:dyDescent="0.3">
      <c r="A3" s="77" t="s">
        <v>0</v>
      </c>
      <c r="B3" s="77"/>
      <c r="C3" s="77"/>
      <c r="D3" s="77"/>
      <c r="E3" s="78" t="s">
        <v>107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9"/>
      <c r="Q3" s="80"/>
      <c r="R3" s="80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</row>
    <row r="4" spans="1:32" ht="15.6" x14ac:dyDescent="0.3">
      <c r="A4" s="81" t="s">
        <v>1</v>
      </c>
      <c r="B4" s="72" t="s">
        <v>2</v>
      </c>
      <c r="C4" s="82" t="s">
        <v>19</v>
      </c>
      <c r="D4" s="83" t="s">
        <v>3</v>
      </c>
      <c r="E4" s="84">
        <v>1</v>
      </c>
      <c r="F4" s="85">
        <v>1</v>
      </c>
      <c r="G4" s="85">
        <v>2</v>
      </c>
      <c r="H4" s="85">
        <v>2</v>
      </c>
      <c r="I4" s="85">
        <v>3</v>
      </c>
      <c r="J4" s="85">
        <v>3</v>
      </c>
      <c r="K4" s="85">
        <v>4</v>
      </c>
      <c r="L4" s="85">
        <v>4</v>
      </c>
      <c r="M4" s="85">
        <v>5</v>
      </c>
      <c r="N4" s="85">
        <v>5</v>
      </c>
      <c r="O4" s="85">
        <v>1</v>
      </c>
      <c r="P4" s="85">
        <v>1</v>
      </c>
      <c r="Q4" s="85">
        <v>2</v>
      </c>
      <c r="R4" s="85">
        <v>2</v>
      </c>
      <c r="S4" s="85">
        <v>3</v>
      </c>
      <c r="T4" s="85">
        <v>3</v>
      </c>
      <c r="U4" s="85">
        <v>4</v>
      </c>
      <c r="V4" s="85">
        <v>4</v>
      </c>
      <c r="W4" s="85">
        <v>4</v>
      </c>
      <c r="X4" s="85">
        <v>4</v>
      </c>
      <c r="Y4" s="85">
        <v>4</v>
      </c>
      <c r="Z4" s="85">
        <v>5</v>
      </c>
      <c r="AA4" s="85">
        <v>5</v>
      </c>
      <c r="AB4" s="85">
        <v>3</v>
      </c>
      <c r="AC4" s="85">
        <v>4</v>
      </c>
      <c r="AD4" s="86" t="s">
        <v>4</v>
      </c>
      <c r="AE4" s="87" t="s">
        <v>13</v>
      </c>
      <c r="AF4" s="87" t="s">
        <v>5</v>
      </c>
    </row>
    <row r="5" spans="1:32" ht="15.6" x14ac:dyDescent="0.25">
      <c r="A5" s="81"/>
      <c r="B5" s="72"/>
      <c r="C5" s="82"/>
      <c r="D5" s="83" t="s">
        <v>8</v>
      </c>
      <c r="E5" s="88">
        <v>1</v>
      </c>
      <c r="F5" s="89">
        <v>2</v>
      </c>
      <c r="G5" s="89">
        <v>3</v>
      </c>
      <c r="H5" s="89">
        <v>4</v>
      </c>
      <c r="I5" s="89">
        <v>5</v>
      </c>
      <c r="J5" s="89">
        <v>6</v>
      </c>
      <c r="K5" s="89">
        <v>7</v>
      </c>
      <c r="L5" s="89">
        <v>8</v>
      </c>
      <c r="M5" s="89">
        <v>9</v>
      </c>
      <c r="N5" s="89">
        <v>10</v>
      </c>
      <c r="O5" s="90" t="s">
        <v>94</v>
      </c>
      <c r="P5" s="90" t="s">
        <v>95</v>
      </c>
      <c r="Q5" s="90" t="s">
        <v>96</v>
      </c>
      <c r="R5" s="90" t="s">
        <v>108</v>
      </c>
      <c r="S5" s="90" t="s">
        <v>97</v>
      </c>
      <c r="T5" s="90" t="s">
        <v>98</v>
      </c>
      <c r="U5" s="90" t="s">
        <v>99</v>
      </c>
      <c r="V5" s="90" t="s">
        <v>100</v>
      </c>
      <c r="W5" s="90" t="s">
        <v>101</v>
      </c>
      <c r="X5" s="90" t="s">
        <v>102</v>
      </c>
      <c r="Y5" s="90" t="s">
        <v>109</v>
      </c>
      <c r="Z5" s="90" t="s">
        <v>103</v>
      </c>
      <c r="AA5" s="90" t="s">
        <v>104</v>
      </c>
      <c r="AB5" s="90" t="s">
        <v>105</v>
      </c>
      <c r="AC5" s="90" t="s">
        <v>106</v>
      </c>
      <c r="AD5" s="91"/>
      <c r="AE5" s="91"/>
      <c r="AF5" s="91"/>
    </row>
    <row r="6" spans="1:32" ht="15.6" x14ac:dyDescent="0.25">
      <c r="A6" s="81"/>
      <c r="B6" s="72"/>
      <c r="C6" s="82"/>
      <c r="D6" s="92" t="s">
        <v>9</v>
      </c>
      <c r="E6" s="93">
        <v>2</v>
      </c>
      <c r="F6" s="94">
        <v>2</v>
      </c>
      <c r="G6" s="94">
        <v>2</v>
      </c>
      <c r="H6" s="94">
        <v>2</v>
      </c>
      <c r="I6" s="94">
        <v>2</v>
      </c>
      <c r="J6" s="94">
        <v>2</v>
      </c>
      <c r="K6" s="94">
        <v>2</v>
      </c>
      <c r="L6" s="94">
        <v>2</v>
      </c>
      <c r="M6" s="94">
        <v>2</v>
      </c>
      <c r="N6" s="94">
        <v>2</v>
      </c>
      <c r="O6" s="94">
        <v>13</v>
      </c>
      <c r="P6" s="94">
        <v>13</v>
      </c>
      <c r="Q6" s="94">
        <v>13</v>
      </c>
      <c r="R6" s="94">
        <v>13</v>
      </c>
      <c r="S6" s="94">
        <v>13</v>
      </c>
      <c r="T6" s="94">
        <v>7</v>
      </c>
      <c r="U6" s="94">
        <v>6</v>
      </c>
      <c r="V6" s="94">
        <v>13</v>
      </c>
      <c r="W6" s="94">
        <v>5</v>
      </c>
      <c r="X6" s="94">
        <v>4</v>
      </c>
      <c r="Y6" s="94">
        <v>4</v>
      </c>
      <c r="Z6" s="94">
        <v>13</v>
      </c>
      <c r="AA6" s="94">
        <v>13</v>
      </c>
      <c r="AB6" s="94">
        <v>15</v>
      </c>
      <c r="AC6" s="94">
        <v>15</v>
      </c>
      <c r="AD6" s="94">
        <v>100</v>
      </c>
      <c r="AE6" s="70">
        <v>64</v>
      </c>
      <c r="AF6" s="70">
        <v>36</v>
      </c>
    </row>
    <row r="7" spans="1:32" ht="15.6" x14ac:dyDescent="0.25">
      <c r="A7" s="95">
        <v>1</v>
      </c>
      <c r="B7" s="96">
        <v>511523205001</v>
      </c>
      <c r="C7" s="97" t="s">
        <v>26</v>
      </c>
      <c r="D7" s="68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2"/>
      <c r="U7" s="101"/>
      <c r="V7" s="101"/>
      <c r="W7" s="101"/>
      <c r="X7" s="101"/>
      <c r="Y7" s="101"/>
      <c r="Z7" s="101"/>
      <c r="AA7" s="101"/>
      <c r="AB7" s="101"/>
      <c r="AC7" s="103"/>
      <c r="AD7" s="70"/>
      <c r="AE7" s="70"/>
      <c r="AF7" s="101"/>
    </row>
    <row r="8" spans="1:32" ht="15.6" x14ac:dyDescent="0.25">
      <c r="A8" s="95">
        <v>2</v>
      </c>
      <c r="B8" s="96">
        <v>511523205002</v>
      </c>
      <c r="C8" s="97" t="s">
        <v>27</v>
      </c>
      <c r="D8" s="69"/>
      <c r="E8" s="101">
        <v>1</v>
      </c>
      <c r="F8" s="101">
        <v>1</v>
      </c>
      <c r="G8" s="101">
        <v>1</v>
      </c>
      <c r="H8" s="101">
        <v>1</v>
      </c>
      <c r="I8" s="101">
        <v>1</v>
      </c>
      <c r="J8" s="101">
        <v>1</v>
      </c>
      <c r="K8" s="101">
        <v>1</v>
      </c>
      <c r="L8" s="101">
        <v>1</v>
      </c>
      <c r="M8" s="101">
        <v>1</v>
      </c>
      <c r="N8" s="101">
        <v>1</v>
      </c>
      <c r="O8" s="101">
        <v>10</v>
      </c>
      <c r="P8" s="101"/>
      <c r="Q8" s="101"/>
      <c r="R8" s="101">
        <v>10</v>
      </c>
      <c r="S8" s="101"/>
      <c r="T8" s="101">
        <v>5</v>
      </c>
      <c r="U8" s="102">
        <v>5</v>
      </c>
      <c r="V8" s="101"/>
      <c r="W8" s="101">
        <v>5</v>
      </c>
      <c r="X8" s="101">
        <v>2</v>
      </c>
      <c r="Y8" s="101">
        <v>3</v>
      </c>
      <c r="Z8" s="101"/>
      <c r="AA8" s="101"/>
      <c r="AB8" s="101"/>
      <c r="AC8" s="101"/>
      <c r="AD8" s="103">
        <f>SUM(E8:AC8)</f>
        <v>50</v>
      </c>
      <c r="AE8" s="70"/>
      <c r="AF8" s="70"/>
    </row>
    <row r="9" spans="1:32" ht="15.6" x14ac:dyDescent="0.25">
      <c r="A9" s="95">
        <v>3</v>
      </c>
      <c r="B9" s="96">
        <v>511523205003</v>
      </c>
      <c r="C9" s="97" t="s">
        <v>28</v>
      </c>
      <c r="D9" s="69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2"/>
      <c r="V9" s="101"/>
      <c r="W9" s="101"/>
      <c r="X9" s="101"/>
      <c r="Y9" s="101"/>
      <c r="Z9" s="101"/>
      <c r="AA9" s="101"/>
      <c r="AB9" s="101"/>
      <c r="AC9" s="101"/>
      <c r="AD9" s="103"/>
      <c r="AE9" s="70"/>
      <c r="AF9" s="70"/>
    </row>
    <row r="10" spans="1:32" ht="15.6" x14ac:dyDescent="0.25">
      <c r="A10" s="95">
        <v>4</v>
      </c>
      <c r="B10" s="96">
        <v>511523205004</v>
      </c>
      <c r="C10" s="97" t="s">
        <v>29</v>
      </c>
      <c r="D10" s="69"/>
      <c r="E10" s="101">
        <v>1</v>
      </c>
      <c r="F10" s="101">
        <v>1</v>
      </c>
      <c r="G10" s="101">
        <v>1</v>
      </c>
      <c r="H10" s="101">
        <v>1</v>
      </c>
      <c r="I10" s="101">
        <v>1</v>
      </c>
      <c r="J10" s="101">
        <v>1</v>
      </c>
      <c r="K10" s="101">
        <v>1</v>
      </c>
      <c r="L10" s="101">
        <v>2</v>
      </c>
      <c r="M10" s="101">
        <v>1</v>
      </c>
      <c r="N10" s="101">
        <v>2</v>
      </c>
      <c r="O10" s="101">
        <v>10</v>
      </c>
      <c r="P10" s="101"/>
      <c r="Q10" s="101"/>
      <c r="R10" s="101">
        <v>7</v>
      </c>
      <c r="S10" s="101"/>
      <c r="T10" s="101">
        <v>5</v>
      </c>
      <c r="U10" s="102">
        <v>5</v>
      </c>
      <c r="V10" s="101"/>
      <c r="W10" s="101">
        <v>5</v>
      </c>
      <c r="X10" s="101">
        <v>3</v>
      </c>
      <c r="Y10" s="101">
        <v>2</v>
      </c>
      <c r="Z10" s="101"/>
      <c r="AA10" s="101">
        <v>4</v>
      </c>
      <c r="AB10" s="101"/>
      <c r="AC10" s="101"/>
      <c r="AD10" s="103">
        <f>SUM(E10:AC10)</f>
        <v>53</v>
      </c>
      <c r="AE10" s="70"/>
      <c r="AF10" s="70"/>
    </row>
    <row r="11" spans="1:32" ht="15.6" x14ac:dyDescent="0.25">
      <c r="A11" s="95">
        <v>5</v>
      </c>
      <c r="B11" s="96">
        <v>511523205005</v>
      </c>
      <c r="C11" s="97" t="s">
        <v>30</v>
      </c>
      <c r="D11" s="69"/>
      <c r="E11" s="101">
        <v>1</v>
      </c>
      <c r="F11" s="101">
        <v>1</v>
      </c>
      <c r="G11" s="101">
        <v>1</v>
      </c>
      <c r="H11" s="101">
        <v>1</v>
      </c>
      <c r="I11" s="101">
        <v>1</v>
      </c>
      <c r="J11" s="101">
        <v>1</v>
      </c>
      <c r="K11" s="101">
        <v>1</v>
      </c>
      <c r="L11" s="101">
        <v>1</v>
      </c>
      <c r="M11" s="101">
        <v>1</v>
      </c>
      <c r="N11" s="101">
        <v>1</v>
      </c>
      <c r="O11" s="101"/>
      <c r="P11" s="101">
        <v>6</v>
      </c>
      <c r="Q11" s="101"/>
      <c r="R11" s="101"/>
      <c r="S11" s="101"/>
      <c r="T11" s="101"/>
      <c r="U11" s="102"/>
      <c r="V11" s="101"/>
      <c r="W11" s="101"/>
      <c r="X11" s="101"/>
      <c r="Y11" s="101"/>
      <c r="Z11" s="101"/>
      <c r="AA11" s="101"/>
      <c r="AB11" s="101"/>
      <c r="AC11" s="101"/>
      <c r="AD11" s="103">
        <f>SUM(E11:AC11)</f>
        <v>16</v>
      </c>
      <c r="AE11" s="70"/>
      <c r="AF11" s="70"/>
    </row>
    <row r="12" spans="1:32" ht="15.6" x14ac:dyDescent="0.25">
      <c r="A12" s="95">
        <v>6</v>
      </c>
      <c r="B12" s="96">
        <v>511523205006</v>
      </c>
      <c r="C12" s="97" t="s">
        <v>31</v>
      </c>
      <c r="D12" s="69"/>
      <c r="E12" s="101">
        <v>1</v>
      </c>
      <c r="F12" s="101">
        <v>2</v>
      </c>
      <c r="G12" s="101">
        <v>1</v>
      </c>
      <c r="H12" s="101">
        <v>1</v>
      </c>
      <c r="I12" s="101">
        <v>1</v>
      </c>
      <c r="J12" s="101">
        <v>1</v>
      </c>
      <c r="K12" s="101">
        <v>1</v>
      </c>
      <c r="L12" s="101">
        <v>1</v>
      </c>
      <c r="M12" s="101">
        <v>1</v>
      </c>
      <c r="N12" s="101">
        <v>1</v>
      </c>
      <c r="O12" s="101">
        <v>10</v>
      </c>
      <c r="P12" s="101"/>
      <c r="Q12" s="101">
        <v>9</v>
      </c>
      <c r="R12" s="101"/>
      <c r="S12" s="101"/>
      <c r="T12" s="101">
        <v>5</v>
      </c>
      <c r="U12" s="102">
        <v>5</v>
      </c>
      <c r="V12" s="101"/>
      <c r="W12" s="101">
        <v>5</v>
      </c>
      <c r="X12" s="101">
        <v>1</v>
      </c>
      <c r="Y12" s="101"/>
      <c r="Z12" s="101"/>
      <c r="AA12" s="101"/>
      <c r="AB12" s="101"/>
      <c r="AC12" s="101"/>
      <c r="AD12" s="103">
        <f>SUM(E12:AC12)</f>
        <v>46</v>
      </c>
      <c r="AE12" s="70"/>
      <c r="AF12" s="70"/>
    </row>
    <row r="13" spans="1:32" ht="15.6" x14ac:dyDescent="0.25">
      <c r="A13" s="95">
        <v>7</v>
      </c>
      <c r="B13" s="96">
        <v>511523205007</v>
      </c>
      <c r="C13" s="97" t="s">
        <v>32</v>
      </c>
      <c r="D13" s="69"/>
      <c r="E13" s="101">
        <v>1</v>
      </c>
      <c r="F13" s="101">
        <v>2</v>
      </c>
      <c r="G13" s="101">
        <v>1</v>
      </c>
      <c r="H13" s="101">
        <v>1</v>
      </c>
      <c r="I13" s="101">
        <v>1</v>
      </c>
      <c r="J13" s="101">
        <v>1</v>
      </c>
      <c r="K13" s="101">
        <v>1</v>
      </c>
      <c r="L13" s="101">
        <v>1</v>
      </c>
      <c r="M13" s="101">
        <v>1</v>
      </c>
      <c r="N13" s="101">
        <v>1</v>
      </c>
      <c r="O13" s="101"/>
      <c r="P13" s="101"/>
      <c r="Q13" s="101"/>
      <c r="R13" s="101"/>
      <c r="S13" s="101"/>
      <c r="T13" s="101"/>
      <c r="U13" s="102"/>
      <c r="V13" s="101"/>
      <c r="W13" s="101"/>
      <c r="X13" s="101"/>
      <c r="Y13" s="101"/>
      <c r="Z13" s="101"/>
      <c r="AA13" s="101"/>
      <c r="AB13" s="101"/>
      <c r="AC13" s="101"/>
      <c r="AD13" s="103">
        <f>SUM(E13:AC13)</f>
        <v>11</v>
      </c>
      <c r="AE13" s="70"/>
      <c r="AF13" s="70"/>
    </row>
    <row r="14" spans="1:32" ht="15.6" x14ac:dyDescent="0.25">
      <c r="A14" s="95">
        <v>8</v>
      </c>
      <c r="B14" s="96">
        <v>511523205008</v>
      </c>
      <c r="C14" s="97" t="s">
        <v>33</v>
      </c>
      <c r="D14" s="69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2"/>
      <c r="V14" s="101"/>
      <c r="W14" s="101"/>
      <c r="X14" s="101"/>
      <c r="Y14" s="101"/>
      <c r="Z14" s="101"/>
      <c r="AA14" s="101"/>
      <c r="AB14" s="101"/>
      <c r="AC14" s="101"/>
      <c r="AD14" s="103"/>
      <c r="AE14" s="70"/>
      <c r="AF14" s="70"/>
    </row>
    <row r="15" spans="1:32" ht="15.6" x14ac:dyDescent="0.25">
      <c r="A15" s="95">
        <v>9</v>
      </c>
      <c r="B15" s="96">
        <v>511523205009</v>
      </c>
      <c r="C15" s="97" t="s">
        <v>34</v>
      </c>
      <c r="D15" s="69"/>
      <c r="E15" s="101">
        <v>1</v>
      </c>
      <c r="F15" s="101">
        <v>0</v>
      </c>
      <c r="G15" s="101">
        <v>1</v>
      </c>
      <c r="H15" s="101">
        <v>1</v>
      </c>
      <c r="I15" s="101">
        <v>1</v>
      </c>
      <c r="J15" s="101">
        <v>1</v>
      </c>
      <c r="K15" s="101">
        <v>1</v>
      </c>
      <c r="L15" s="101">
        <v>1</v>
      </c>
      <c r="M15" s="101"/>
      <c r="N15" s="101">
        <v>1</v>
      </c>
      <c r="O15" s="101"/>
      <c r="P15" s="101">
        <v>6</v>
      </c>
      <c r="Q15" s="101"/>
      <c r="R15" s="101"/>
      <c r="S15" s="101"/>
      <c r="T15" s="101"/>
      <c r="U15" s="102"/>
      <c r="V15" s="101"/>
      <c r="W15" s="101"/>
      <c r="X15" s="101"/>
      <c r="Y15" s="101"/>
      <c r="Z15" s="101"/>
      <c r="AA15" s="101"/>
      <c r="AB15" s="101"/>
      <c r="AC15" s="101"/>
      <c r="AD15" s="103">
        <f>SUM(E15:AC15)</f>
        <v>14</v>
      </c>
      <c r="AE15" s="70"/>
      <c r="AF15" s="70"/>
    </row>
    <row r="16" spans="1:32" ht="15.6" x14ac:dyDescent="0.25">
      <c r="A16" s="95">
        <v>10</v>
      </c>
      <c r="B16" s="96">
        <v>511523205010</v>
      </c>
      <c r="C16" s="97" t="s">
        <v>35</v>
      </c>
      <c r="D16" s="69"/>
      <c r="E16" s="101">
        <v>1</v>
      </c>
      <c r="F16" s="101">
        <v>1</v>
      </c>
      <c r="G16" s="101">
        <v>1</v>
      </c>
      <c r="H16" s="101">
        <v>1</v>
      </c>
      <c r="I16" s="101">
        <v>1</v>
      </c>
      <c r="J16" s="101">
        <v>1</v>
      </c>
      <c r="K16" s="101">
        <v>1</v>
      </c>
      <c r="L16" s="101">
        <v>1</v>
      </c>
      <c r="M16" s="101">
        <v>1</v>
      </c>
      <c r="N16" s="101">
        <v>1</v>
      </c>
      <c r="O16" s="101">
        <v>10</v>
      </c>
      <c r="P16" s="101"/>
      <c r="Q16" s="101">
        <v>10</v>
      </c>
      <c r="R16" s="101"/>
      <c r="S16" s="101">
        <v>10</v>
      </c>
      <c r="T16" s="101"/>
      <c r="U16" s="102"/>
      <c r="V16" s="101">
        <v>10</v>
      </c>
      <c r="W16" s="101"/>
      <c r="X16" s="101"/>
      <c r="Y16" s="101"/>
      <c r="Z16" s="101"/>
      <c r="AA16" s="101">
        <v>10</v>
      </c>
      <c r="AB16" s="101"/>
      <c r="AC16" s="101"/>
      <c r="AD16" s="103">
        <f>SUM(E16:AC16)</f>
        <v>60</v>
      </c>
      <c r="AE16" s="70"/>
      <c r="AF16" s="70"/>
    </row>
    <row r="17" spans="1:32" ht="15.6" x14ac:dyDescent="0.25">
      <c r="A17" s="95">
        <v>11</v>
      </c>
      <c r="B17" s="96">
        <v>511523205011</v>
      </c>
      <c r="C17" s="97" t="s">
        <v>36</v>
      </c>
      <c r="D17" s="69"/>
      <c r="E17" s="101">
        <v>1</v>
      </c>
      <c r="F17" s="101">
        <v>1</v>
      </c>
      <c r="G17" s="101">
        <v>1</v>
      </c>
      <c r="H17" s="101">
        <v>1</v>
      </c>
      <c r="I17" s="101">
        <v>1</v>
      </c>
      <c r="J17" s="101">
        <v>1</v>
      </c>
      <c r="K17" s="101">
        <v>1</v>
      </c>
      <c r="L17" s="101">
        <v>1</v>
      </c>
      <c r="M17" s="101">
        <v>2</v>
      </c>
      <c r="N17" s="101">
        <v>2</v>
      </c>
      <c r="O17" s="101">
        <v>9</v>
      </c>
      <c r="P17" s="101"/>
      <c r="Q17" s="101">
        <v>8</v>
      </c>
      <c r="R17" s="101"/>
      <c r="S17" s="101"/>
      <c r="T17" s="101">
        <v>10</v>
      </c>
      <c r="U17" s="102"/>
      <c r="V17" s="101"/>
      <c r="W17" s="101">
        <v>4</v>
      </c>
      <c r="X17" s="101">
        <v>2</v>
      </c>
      <c r="Y17" s="101"/>
      <c r="Z17" s="101"/>
      <c r="AA17" s="101">
        <v>4</v>
      </c>
      <c r="AB17" s="101"/>
      <c r="AC17" s="101">
        <v>1</v>
      </c>
      <c r="AD17" s="103">
        <f>SUM(E17:AC17)</f>
        <v>50</v>
      </c>
      <c r="AE17" s="70"/>
      <c r="AF17" s="70"/>
    </row>
    <row r="18" spans="1:32" ht="15.6" x14ac:dyDescent="0.25">
      <c r="A18" s="95">
        <v>12</v>
      </c>
      <c r="B18" s="96">
        <v>511523205012</v>
      </c>
      <c r="C18" s="97" t="s">
        <v>37</v>
      </c>
      <c r="D18" s="69"/>
      <c r="E18" s="101">
        <v>1</v>
      </c>
      <c r="F18" s="101">
        <v>1</v>
      </c>
      <c r="G18" s="101">
        <v>2</v>
      </c>
      <c r="H18" s="101">
        <v>1</v>
      </c>
      <c r="I18" s="101">
        <v>1</v>
      </c>
      <c r="J18" s="101">
        <v>1</v>
      </c>
      <c r="K18" s="101">
        <v>1</v>
      </c>
      <c r="L18" s="101">
        <v>1</v>
      </c>
      <c r="M18" s="101">
        <v>1</v>
      </c>
      <c r="N18" s="101">
        <v>1</v>
      </c>
      <c r="O18" s="101">
        <v>6</v>
      </c>
      <c r="P18" s="101"/>
      <c r="Q18" s="101">
        <v>4</v>
      </c>
      <c r="R18" s="101"/>
      <c r="S18" s="101"/>
      <c r="T18" s="101"/>
      <c r="U18" s="102"/>
      <c r="V18" s="101"/>
      <c r="W18" s="101">
        <v>2</v>
      </c>
      <c r="X18" s="101">
        <v>1</v>
      </c>
      <c r="Y18" s="101">
        <v>1</v>
      </c>
      <c r="Z18" s="101"/>
      <c r="AA18" s="101"/>
      <c r="AB18" s="101">
        <v>10</v>
      </c>
      <c r="AC18" s="101"/>
      <c r="AD18" s="103">
        <f>SUM(E18:AC18)</f>
        <v>35</v>
      </c>
      <c r="AE18" s="70"/>
      <c r="AF18" s="70"/>
    </row>
    <row r="19" spans="1:32" ht="15.6" x14ac:dyDescent="0.25">
      <c r="A19" s="95">
        <v>13</v>
      </c>
      <c r="B19" s="96">
        <v>511523205013</v>
      </c>
      <c r="C19" s="97" t="s">
        <v>38</v>
      </c>
      <c r="D19" s="69"/>
      <c r="E19" s="101">
        <v>2</v>
      </c>
      <c r="F19" s="101">
        <v>1</v>
      </c>
      <c r="G19" s="101"/>
      <c r="H19" s="101"/>
      <c r="I19" s="101">
        <v>2</v>
      </c>
      <c r="J19" s="101">
        <v>1</v>
      </c>
      <c r="K19" s="101">
        <v>2</v>
      </c>
      <c r="L19" s="101">
        <v>1</v>
      </c>
      <c r="M19" s="101">
        <v>2</v>
      </c>
      <c r="N19" s="101">
        <v>1</v>
      </c>
      <c r="O19" s="101">
        <v>10</v>
      </c>
      <c r="P19" s="101"/>
      <c r="Q19" s="101">
        <v>10</v>
      </c>
      <c r="R19" s="101"/>
      <c r="S19" s="101"/>
      <c r="T19" s="101">
        <v>4</v>
      </c>
      <c r="U19" s="102"/>
      <c r="V19" s="101"/>
      <c r="W19" s="101"/>
      <c r="X19" s="101"/>
      <c r="Y19" s="101"/>
      <c r="Z19" s="101"/>
      <c r="AA19" s="101"/>
      <c r="AB19" s="101"/>
      <c r="AC19" s="101"/>
      <c r="AD19" s="103">
        <f>SUM(E19:AC19)</f>
        <v>36</v>
      </c>
      <c r="AE19" s="70"/>
      <c r="AF19" s="70"/>
    </row>
    <row r="20" spans="1:32" ht="15.6" x14ac:dyDescent="0.25">
      <c r="A20" s="95">
        <v>14</v>
      </c>
      <c r="B20" s="96">
        <v>511523205014</v>
      </c>
      <c r="C20" s="97" t="s">
        <v>39</v>
      </c>
      <c r="D20" s="69"/>
      <c r="E20" s="101">
        <v>1</v>
      </c>
      <c r="F20" s="101">
        <v>1</v>
      </c>
      <c r="G20" s="101">
        <v>1</v>
      </c>
      <c r="H20" s="101">
        <v>1</v>
      </c>
      <c r="I20" s="101">
        <v>2</v>
      </c>
      <c r="J20" s="101">
        <v>1</v>
      </c>
      <c r="K20" s="101">
        <v>1</v>
      </c>
      <c r="L20" s="101">
        <v>1</v>
      </c>
      <c r="M20" s="101">
        <v>1</v>
      </c>
      <c r="N20" s="101">
        <v>1</v>
      </c>
      <c r="O20" s="101">
        <v>10</v>
      </c>
      <c r="P20" s="101"/>
      <c r="Q20" s="101">
        <v>10</v>
      </c>
      <c r="R20" s="101"/>
      <c r="S20" s="101">
        <v>10</v>
      </c>
      <c r="T20" s="101"/>
      <c r="U20" s="102"/>
      <c r="V20" s="101"/>
      <c r="W20" s="101">
        <v>5</v>
      </c>
      <c r="X20" s="101">
        <v>2</v>
      </c>
      <c r="Y20" s="101">
        <v>2</v>
      </c>
      <c r="Z20" s="101"/>
      <c r="AA20" s="101"/>
      <c r="AB20" s="101"/>
      <c r="AC20" s="101"/>
      <c r="AD20" s="103">
        <f>SUM(E20:AC20)</f>
        <v>50</v>
      </c>
      <c r="AE20" s="70"/>
      <c r="AF20" s="70"/>
    </row>
    <row r="21" spans="1:32" ht="15.6" x14ac:dyDescent="0.25">
      <c r="A21" s="95">
        <v>15</v>
      </c>
      <c r="B21" s="96">
        <v>511523205015</v>
      </c>
      <c r="C21" s="97" t="s">
        <v>40</v>
      </c>
      <c r="D21" s="69"/>
      <c r="E21" s="104">
        <v>1</v>
      </c>
      <c r="F21" s="104">
        <v>1</v>
      </c>
      <c r="G21" s="104">
        <v>1</v>
      </c>
      <c r="H21" s="104">
        <v>2</v>
      </c>
      <c r="I21" s="104">
        <v>1</v>
      </c>
      <c r="J21" s="104">
        <v>1</v>
      </c>
      <c r="K21" s="104">
        <v>1</v>
      </c>
      <c r="L21" s="104">
        <v>1</v>
      </c>
      <c r="M21" s="104">
        <v>1</v>
      </c>
      <c r="N21" s="104">
        <v>1</v>
      </c>
      <c r="O21" s="104">
        <v>10</v>
      </c>
      <c r="P21" s="104"/>
      <c r="Q21" s="104"/>
      <c r="R21" s="104">
        <v>10</v>
      </c>
      <c r="S21" s="104">
        <v>10</v>
      </c>
      <c r="T21" s="104"/>
      <c r="U21" s="104"/>
      <c r="V21" s="104">
        <v>10</v>
      </c>
      <c r="W21" s="104"/>
      <c r="X21" s="104"/>
      <c r="Y21" s="104"/>
      <c r="Z21" s="104"/>
      <c r="AA21" s="104">
        <v>10</v>
      </c>
      <c r="AB21" s="104"/>
      <c r="AC21" s="104"/>
      <c r="AD21" s="103">
        <f>SUM(E21:AC21)</f>
        <v>61</v>
      </c>
      <c r="AE21" s="70"/>
      <c r="AF21" s="70"/>
    </row>
    <row r="22" spans="1:32" ht="15.6" x14ac:dyDescent="0.25">
      <c r="A22" s="95">
        <v>16</v>
      </c>
      <c r="B22" s="96">
        <v>511523205016</v>
      </c>
      <c r="C22" s="97" t="s">
        <v>41</v>
      </c>
      <c r="D22" s="69"/>
      <c r="E22" s="101">
        <v>1</v>
      </c>
      <c r="F22" s="101">
        <v>1</v>
      </c>
      <c r="G22" s="101">
        <v>1</v>
      </c>
      <c r="H22" s="101">
        <v>1</v>
      </c>
      <c r="I22" s="101">
        <v>1</v>
      </c>
      <c r="J22" s="101">
        <v>1</v>
      </c>
      <c r="K22" s="101">
        <v>1</v>
      </c>
      <c r="L22" s="101">
        <v>1</v>
      </c>
      <c r="M22" s="101"/>
      <c r="N22" s="101"/>
      <c r="O22" s="101"/>
      <c r="P22" s="101">
        <v>8</v>
      </c>
      <c r="Q22" s="101">
        <v>4</v>
      </c>
      <c r="R22" s="101"/>
      <c r="S22" s="101"/>
      <c r="T22" s="101"/>
      <c r="U22" s="102"/>
      <c r="V22" s="101"/>
      <c r="W22" s="101"/>
      <c r="X22" s="101"/>
      <c r="Y22" s="101"/>
      <c r="Z22" s="101"/>
      <c r="AA22" s="101"/>
      <c r="AB22" s="101"/>
      <c r="AC22" s="101"/>
      <c r="AD22" s="103">
        <f>SUM(E22:AC22)</f>
        <v>20</v>
      </c>
      <c r="AE22" s="70"/>
      <c r="AF22" s="70"/>
    </row>
    <row r="23" spans="1:32" ht="15.6" x14ac:dyDescent="0.25">
      <c r="A23" s="95">
        <v>17</v>
      </c>
      <c r="B23" s="96">
        <v>511523205017</v>
      </c>
      <c r="C23" s="97" t="s">
        <v>42</v>
      </c>
      <c r="D23" s="69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>
        <v>10</v>
      </c>
      <c r="P23" s="101"/>
      <c r="Q23" s="101"/>
      <c r="R23" s="101"/>
      <c r="S23" s="101"/>
      <c r="T23" s="101"/>
      <c r="U23" s="102"/>
      <c r="V23" s="101"/>
      <c r="W23" s="101"/>
      <c r="X23" s="101"/>
      <c r="Y23" s="101"/>
      <c r="Z23" s="101"/>
      <c r="AA23" s="101"/>
      <c r="AB23" s="101"/>
      <c r="AC23" s="101"/>
      <c r="AD23" s="103"/>
      <c r="AE23" s="70"/>
      <c r="AF23" s="70"/>
    </row>
    <row r="24" spans="1:32" ht="15.6" x14ac:dyDescent="0.25">
      <c r="A24" s="95">
        <v>18</v>
      </c>
      <c r="B24" s="98">
        <v>511523205018</v>
      </c>
      <c r="C24" s="99" t="s">
        <v>43</v>
      </c>
      <c r="D24" s="69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2"/>
      <c r="V24" s="101"/>
      <c r="W24" s="101"/>
      <c r="X24" s="101"/>
      <c r="Y24" s="101"/>
      <c r="Z24" s="101"/>
      <c r="AA24" s="101"/>
      <c r="AB24" s="101"/>
      <c r="AC24" s="101"/>
      <c r="AD24" s="103"/>
      <c r="AE24" s="70"/>
      <c r="AF24" s="70"/>
    </row>
    <row r="25" spans="1:32" ht="15.6" x14ac:dyDescent="0.25">
      <c r="A25" s="95">
        <v>19</v>
      </c>
      <c r="B25" s="96">
        <v>511523205019</v>
      </c>
      <c r="C25" s="97" t="s">
        <v>44</v>
      </c>
      <c r="D25" s="69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2"/>
      <c r="V25" s="101"/>
      <c r="W25" s="101"/>
      <c r="X25" s="101"/>
      <c r="Y25" s="101"/>
      <c r="Z25" s="101"/>
      <c r="AA25" s="101"/>
      <c r="AB25" s="101"/>
      <c r="AC25" s="101"/>
      <c r="AD25" s="103"/>
      <c r="AE25" s="70"/>
      <c r="AF25" s="70"/>
    </row>
    <row r="26" spans="1:32" ht="15.6" x14ac:dyDescent="0.25">
      <c r="A26" s="95">
        <v>20</v>
      </c>
      <c r="B26" s="96">
        <v>511523205020</v>
      </c>
      <c r="C26" s="97" t="s">
        <v>45</v>
      </c>
      <c r="D26" s="69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2"/>
      <c r="V26" s="101"/>
      <c r="W26" s="101"/>
      <c r="X26" s="101"/>
      <c r="Y26" s="101"/>
      <c r="Z26" s="101"/>
      <c r="AA26" s="101"/>
      <c r="AB26" s="101"/>
      <c r="AC26" s="101"/>
      <c r="AD26" s="103"/>
      <c r="AE26" s="70"/>
      <c r="AF26" s="70"/>
    </row>
    <row r="27" spans="1:32" ht="15.6" x14ac:dyDescent="0.25">
      <c r="A27" s="95">
        <v>21</v>
      </c>
      <c r="B27" s="96">
        <v>511523205021</v>
      </c>
      <c r="C27" s="97" t="s">
        <v>46</v>
      </c>
      <c r="D27" s="69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2"/>
      <c r="V27" s="101"/>
      <c r="W27" s="101"/>
      <c r="X27" s="101"/>
      <c r="Y27" s="101"/>
      <c r="Z27" s="101"/>
      <c r="AA27" s="101"/>
      <c r="AB27" s="101"/>
      <c r="AC27" s="101"/>
      <c r="AD27" s="103"/>
      <c r="AE27" s="70"/>
      <c r="AF27" s="70"/>
    </row>
    <row r="28" spans="1:32" ht="15.6" x14ac:dyDescent="0.25">
      <c r="A28" s="95">
        <v>22</v>
      </c>
      <c r="B28" s="96">
        <v>511523205023</v>
      </c>
      <c r="C28" s="97" t="s">
        <v>47</v>
      </c>
      <c r="D28" s="69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2"/>
      <c r="V28" s="101"/>
      <c r="W28" s="101"/>
      <c r="X28" s="101"/>
      <c r="Y28" s="101"/>
      <c r="Z28" s="101"/>
      <c r="AA28" s="101"/>
      <c r="AB28" s="101"/>
      <c r="AC28" s="101"/>
      <c r="AD28" s="103"/>
      <c r="AE28" s="70"/>
      <c r="AF28" s="70"/>
    </row>
    <row r="29" spans="1:32" ht="15.6" x14ac:dyDescent="0.25">
      <c r="A29" s="95">
        <v>23</v>
      </c>
      <c r="B29" s="96">
        <v>511523205025</v>
      </c>
      <c r="C29" s="97" t="s">
        <v>48</v>
      </c>
      <c r="D29" s="69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3"/>
      <c r="AE29" s="70"/>
      <c r="AF29" s="70"/>
    </row>
    <row r="30" spans="1:32" ht="15.6" x14ac:dyDescent="0.25">
      <c r="A30" s="95">
        <v>24</v>
      </c>
      <c r="B30" s="96">
        <v>511523205026</v>
      </c>
      <c r="C30" s="97" t="s">
        <v>49</v>
      </c>
      <c r="D30" s="69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2"/>
      <c r="V30" s="101"/>
      <c r="W30" s="101"/>
      <c r="X30" s="101"/>
      <c r="Y30" s="101"/>
      <c r="Z30" s="101"/>
      <c r="AA30" s="101"/>
      <c r="AB30" s="101"/>
      <c r="AC30" s="101"/>
      <c r="AD30" s="103"/>
      <c r="AE30" s="70"/>
      <c r="AF30" s="70"/>
    </row>
    <row r="31" spans="1:32" ht="15.6" x14ac:dyDescent="0.25">
      <c r="A31" s="95">
        <v>25</v>
      </c>
      <c r="B31" s="96">
        <v>511523205027</v>
      </c>
      <c r="C31" s="97" t="s">
        <v>50</v>
      </c>
      <c r="D31" s="69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2"/>
      <c r="V31" s="101"/>
      <c r="W31" s="101"/>
      <c r="X31" s="101"/>
      <c r="Y31" s="101"/>
      <c r="Z31" s="101"/>
      <c r="AA31" s="101"/>
      <c r="AB31" s="101"/>
      <c r="AC31" s="101"/>
      <c r="AD31" s="103"/>
      <c r="AE31" s="70"/>
      <c r="AF31" s="70"/>
    </row>
    <row r="32" spans="1:32" ht="15.6" x14ac:dyDescent="0.25">
      <c r="A32" s="95">
        <v>26</v>
      </c>
      <c r="B32" s="96">
        <v>511523205028</v>
      </c>
      <c r="C32" s="97" t="s">
        <v>51</v>
      </c>
      <c r="D32" s="69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2"/>
      <c r="V32" s="101"/>
      <c r="W32" s="101"/>
      <c r="X32" s="101"/>
      <c r="Y32" s="101"/>
      <c r="Z32" s="101"/>
      <c r="AA32" s="101"/>
      <c r="AB32" s="101"/>
      <c r="AC32" s="101"/>
      <c r="AD32" s="103"/>
      <c r="AE32" s="70"/>
      <c r="AF32" s="70"/>
    </row>
    <row r="33" spans="1:32" ht="15.6" x14ac:dyDescent="0.25">
      <c r="A33" s="95">
        <v>27</v>
      </c>
      <c r="B33" s="96">
        <v>511523205029</v>
      </c>
      <c r="C33" s="97" t="s">
        <v>52</v>
      </c>
      <c r="D33" s="69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2"/>
      <c r="V33" s="101"/>
      <c r="W33" s="101"/>
      <c r="X33" s="101"/>
      <c r="Y33" s="101"/>
      <c r="Z33" s="101"/>
      <c r="AA33" s="101"/>
      <c r="AB33" s="101"/>
      <c r="AC33" s="101"/>
      <c r="AD33" s="103"/>
      <c r="AE33" s="70"/>
      <c r="AF33" s="70"/>
    </row>
    <row r="34" spans="1:32" ht="15.6" x14ac:dyDescent="0.25">
      <c r="A34" s="95">
        <v>28</v>
      </c>
      <c r="B34" s="96">
        <v>511523205030</v>
      </c>
      <c r="C34" s="97" t="s">
        <v>53</v>
      </c>
      <c r="D34" s="69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2"/>
      <c r="V34" s="101"/>
      <c r="W34" s="101"/>
      <c r="X34" s="101"/>
      <c r="Y34" s="101"/>
      <c r="Z34" s="101"/>
      <c r="AA34" s="101"/>
      <c r="AB34" s="101"/>
      <c r="AC34" s="101"/>
      <c r="AD34" s="103"/>
      <c r="AE34" s="70"/>
      <c r="AF34" s="70"/>
    </row>
    <row r="35" spans="1:32" ht="15.6" x14ac:dyDescent="0.25">
      <c r="A35" s="95">
        <v>29</v>
      </c>
      <c r="B35" s="96">
        <v>511523205031</v>
      </c>
      <c r="C35" s="97" t="s">
        <v>54</v>
      </c>
      <c r="D35" s="69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V35" s="101"/>
      <c r="W35" s="101"/>
      <c r="X35" s="101"/>
      <c r="Y35" s="101"/>
      <c r="Z35" s="101"/>
      <c r="AA35" s="101"/>
      <c r="AB35" s="101"/>
      <c r="AC35" s="101"/>
      <c r="AD35" s="103"/>
      <c r="AE35" s="70"/>
      <c r="AF35" s="70"/>
    </row>
    <row r="36" spans="1:32" ht="15.6" x14ac:dyDescent="0.25">
      <c r="A36" s="95">
        <v>30</v>
      </c>
      <c r="B36" s="96">
        <v>511523205032</v>
      </c>
      <c r="C36" s="97" t="s">
        <v>55</v>
      </c>
      <c r="D36" s="69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2"/>
      <c r="V36" s="101"/>
      <c r="W36" s="101"/>
      <c r="X36" s="101"/>
      <c r="Y36" s="101"/>
      <c r="Z36" s="101"/>
      <c r="AA36" s="101"/>
      <c r="AB36" s="101"/>
      <c r="AC36" s="101"/>
      <c r="AD36" s="103"/>
      <c r="AE36" s="70"/>
      <c r="AF36" s="70"/>
    </row>
    <row r="37" spans="1:32" ht="15.6" x14ac:dyDescent="0.25">
      <c r="A37" s="95">
        <v>31</v>
      </c>
      <c r="B37" s="96">
        <v>511523205033</v>
      </c>
      <c r="C37" s="97" t="s">
        <v>56</v>
      </c>
      <c r="D37" s="69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2"/>
      <c r="V37" s="101"/>
      <c r="W37" s="101"/>
      <c r="X37" s="101"/>
      <c r="Y37" s="101"/>
      <c r="Z37" s="101"/>
      <c r="AA37" s="101"/>
      <c r="AB37" s="101"/>
      <c r="AC37" s="101"/>
      <c r="AD37" s="103"/>
      <c r="AE37" s="70"/>
      <c r="AF37" s="70"/>
    </row>
    <row r="38" spans="1:32" ht="15.6" x14ac:dyDescent="0.25">
      <c r="A38" s="95">
        <v>32</v>
      </c>
      <c r="B38" s="96">
        <v>511523205034</v>
      </c>
      <c r="C38" s="97" t="s">
        <v>57</v>
      </c>
      <c r="D38" s="69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2"/>
      <c r="V38" s="101"/>
      <c r="W38" s="101"/>
      <c r="X38" s="101"/>
      <c r="Y38" s="101"/>
      <c r="Z38" s="101"/>
      <c r="AA38" s="101"/>
      <c r="AB38" s="101"/>
      <c r="AC38" s="101"/>
      <c r="AD38" s="103"/>
      <c r="AE38" s="70"/>
      <c r="AF38" s="70"/>
    </row>
    <row r="39" spans="1:32" ht="15.6" x14ac:dyDescent="0.25">
      <c r="A39" s="95">
        <v>33</v>
      </c>
      <c r="B39" s="96">
        <v>511523205035</v>
      </c>
      <c r="C39" s="97" t="s">
        <v>58</v>
      </c>
      <c r="D39" s="69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2"/>
      <c r="V39" s="101"/>
      <c r="W39" s="101"/>
      <c r="X39" s="101"/>
      <c r="Y39" s="101"/>
      <c r="Z39" s="101"/>
      <c r="AA39" s="101"/>
      <c r="AB39" s="101"/>
      <c r="AC39" s="101"/>
      <c r="AD39" s="103"/>
      <c r="AE39" s="70"/>
      <c r="AF39" s="70"/>
    </row>
    <row r="40" spans="1:32" ht="15.6" x14ac:dyDescent="0.25">
      <c r="A40" s="95">
        <v>34</v>
      </c>
      <c r="B40" s="96">
        <v>511523205036</v>
      </c>
      <c r="C40" s="97" t="s">
        <v>59</v>
      </c>
      <c r="D40" s="69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2"/>
      <c r="V40" s="101"/>
      <c r="W40" s="101"/>
      <c r="X40" s="101"/>
      <c r="Y40" s="101"/>
      <c r="Z40" s="101"/>
      <c r="AA40" s="101"/>
      <c r="AB40" s="101"/>
      <c r="AC40" s="101"/>
      <c r="AD40" s="103"/>
      <c r="AE40" s="70"/>
      <c r="AF40" s="70"/>
    </row>
    <row r="41" spans="1:32" ht="15.6" x14ac:dyDescent="0.25">
      <c r="A41" s="95">
        <v>35</v>
      </c>
      <c r="B41" s="96">
        <v>511523205037</v>
      </c>
      <c r="C41" s="97" t="s">
        <v>60</v>
      </c>
      <c r="D41" s="69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2"/>
      <c r="V41" s="101"/>
      <c r="W41" s="101"/>
      <c r="X41" s="101"/>
      <c r="Y41" s="101"/>
      <c r="Z41" s="101"/>
      <c r="AA41" s="101"/>
      <c r="AB41" s="101"/>
      <c r="AC41" s="101"/>
      <c r="AD41" s="103"/>
      <c r="AE41" s="70"/>
      <c r="AF41" s="70"/>
    </row>
    <row r="42" spans="1:32" ht="15.6" x14ac:dyDescent="0.25">
      <c r="A42" s="95">
        <v>36</v>
      </c>
      <c r="B42" s="96">
        <v>511523205038</v>
      </c>
      <c r="C42" s="97" t="s">
        <v>61</v>
      </c>
      <c r="D42" s="69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2"/>
      <c r="V42" s="101"/>
      <c r="W42" s="101"/>
      <c r="X42" s="101"/>
      <c r="Y42" s="101"/>
      <c r="Z42" s="101"/>
      <c r="AA42" s="101"/>
      <c r="AB42" s="101"/>
      <c r="AC42" s="101"/>
      <c r="AD42" s="103"/>
      <c r="AE42" s="70"/>
      <c r="AF42" s="70"/>
    </row>
    <row r="43" spans="1:32" ht="15.6" x14ac:dyDescent="0.25">
      <c r="A43" s="95">
        <v>37</v>
      </c>
      <c r="B43" s="96">
        <v>511523205039</v>
      </c>
      <c r="C43" s="97" t="s">
        <v>62</v>
      </c>
      <c r="D43" s="69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2"/>
      <c r="V43" s="101"/>
      <c r="W43" s="101"/>
      <c r="X43" s="101"/>
      <c r="Y43" s="101"/>
      <c r="Z43" s="101"/>
      <c r="AA43" s="101"/>
      <c r="AB43" s="101"/>
      <c r="AC43" s="101"/>
      <c r="AD43" s="103"/>
      <c r="AE43" s="70"/>
      <c r="AF43" s="70"/>
    </row>
    <row r="44" spans="1:32" ht="15.6" x14ac:dyDescent="0.25">
      <c r="A44" s="95">
        <v>38</v>
      </c>
      <c r="B44" s="96">
        <v>511523205040</v>
      </c>
      <c r="C44" s="97" t="s">
        <v>63</v>
      </c>
      <c r="D44" s="69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2"/>
      <c r="V44" s="101"/>
      <c r="W44" s="101"/>
      <c r="X44" s="101"/>
      <c r="Y44" s="101"/>
      <c r="Z44" s="101"/>
      <c r="AA44" s="101"/>
      <c r="AB44" s="101"/>
      <c r="AC44" s="101"/>
      <c r="AD44" s="103"/>
      <c r="AE44" s="70"/>
      <c r="AF44" s="70"/>
    </row>
    <row r="45" spans="1:32" ht="15.6" x14ac:dyDescent="0.25">
      <c r="A45" s="95">
        <v>39</v>
      </c>
      <c r="B45" s="96">
        <v>511523205041</v>
      </c>
      <c r="C45" s="97" t="s">
        <v>64</v>
      </c>
      <c r="D45" s="69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2"/>
      <c r="V45" s="101"/>
      <c r="W45" s="101"/>
      <c r="X45" s="101"/>
      <c r="Y45" s="101"/>
      <c r="Z45" s="101"/>
      <c r="AA45" s="101"/>
      <c r="AB45" s="101"/>
      <c r="AC45" s="101"/>
      <c r="AD45" s="103"/>
      <c r="AE45" s="70"/>
      <c r="AF45" s="70"/>
    </row>
    <row r="46" spans="1:32" ht="15.6" x14ac:dyDescent="0.25">
      <c r="A46" s="95">
        <v>40</v>
      </c>
      <c r="B46" s="96">
        <v>511523205042</v>
      </c>
      <c r="C46" s="97" t="s">
        <v>65</v>
      </c>
      <c r="D46" s="69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3"/>
      <c r="AE46" s="70"/>
      <c r="AF46" s="70"/>
    </row>
    <row r="47" spans="1:32" ht="15.6" x14ac:dyDescent="0.25">
      <c r="A47" s="95">
        <v>41</v>
      </c>
      <c r="B47" s="96">
        <v>511523205043</v>
      </c>
      <c r="C47" s="97" t="s">
        <v>66</v>
      </c>
      <c r="D47" s="69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2"/>
      <c r="V47" s="101"/>
      <c r="W47" s="101"/>
      <c r="X47" s="101"/>
      <c r="Y47" s="101"/>
      <c r="Z47" s="101"/>
      <c r="AA47" s="101"/>
      <c r="AB47" s="101"/>
      <c r="AC47" s="101"/>
      <c r="AD47" s="103"/>
      <c r="AE47" s="70"/>
      <c r="AF47" s="70"/>
    </row>
    <row r="48" spans="1:32" ht="15.6" x14ac:dyDescent="0.25">
      <c r="A48" s="95">
        <v>42</v>
      </c>
      <c r="B48" s="96">
        <v>511523205044</v>
      </c>
      <c r="C48" s="97" t="s">
        <v>67</v>
      </c>
      <c r="D48" s="69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2"/>
      <c r="V48" s="101"/>
      <c r="W48" s="101"/>
      <c r="X48" s="101"/>
      <c r="Y48" s="101"/>
      <c r="Z48" s="101"/>
      <c r="AA48" s="101"/>
      <c r="AB48" s="101"/>
      <c r="AC48" s="101"/>
      <c r="AD48" s="103"/>
      <c r="AE48" s="70"/>
      <c r="AF48" s="70"/>
    </row>
    <row r="49" spans="1:32" ht="15.6" x14ac:dyDescent="0.25">
      <c r="A49" s="95">
        <v>43</v>
      </c>
      <c r="B49" s="96">
        <v>511523205045</v>
      </c>
      <c r="C49" s="97" t="s">
        <v>68</v>
      </c>
      <c r="D49" s="69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3"/>
      <c r="AE49" s="70"/>
      <c r="AF49" s="70"/>
    </row>
    <row r="50" spans="1:32" ht="15.6" x14ac:dyDescent="0.25">
      <c r="A50" s="95">
        <v>44</v>
      </c>
      <c r="B50" s="96">
        <v>511523205046</v>
      </c>
      <c r="C50" s="97" t="s">
        <v>69</v>
      </c>
      <c r="D50" s="69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2"/>
      <c r="V50" s="101"/>
      <c r="W50" s="101"/>
      <c r="X50" s="101"/>
      <c r="Y50" s="101"/>
      <c r="Z50" s="101"/>
      <c r="AA50" s="101"/>
      <c r="AB50" s="101"/>
      <c r="AC50" s="101"/>
      <c r="AD50" s="103"/>
      <c r="AE50" s="70"/>
      <c r="AF50" s="70"/>
    </row>
    <row r="51" spans="1:32" ht="15.6" x14ac:dyDescent="0.25">
      <c r="A51" s="95">
        <v>45</v>
      </c>
      <c r="B51" s="96">
        <v>511523205047</v>
      </c>
      <c r="C51" s="97" t="s">
        <v>70</v>
      </c>
      <c r="D51" s="69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2"/>
      <c r="V51" s="101"/>
      <c r="W51" s="101"/>
      <c r="X51" s="101"/>
      <c r="Y51" s="101"/>
      <c r="Z51" s="101"/>
      <c r="AA51" s="101"/>
      <c r="AB51" s="101"/>
      <c r="AC51" s="101"/>
      <c r="AD51" s="103"/>
      <c r="AE51" s="70"/>
      <c r="AF51" s="70"/>
    </row>
    <row r="52" spans="1:32" ht="15.6" x14ac:dyDescent="0.25">
      <c r="A52" s="95">
        <v>46</v>
      </c>
      <c r="B52" s="96">
        <v>511523205048</v>
      </c>
      <c r="C52" s="97" t="s">
        <v>71</v>
      </c>
      <c r="D52" s="69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2"/>
      <c r="V52" s="101"/>
      <c r="W52" s="101"/>
      <c r="X52" s="101"/>
      <c r="Y52" s="101"/>
      <c r="Z52" s="101"/>
      <c r="AA52" s="101"/>
      <c r="AB52" s="101"/>
      <c r="AC52" s="101"/>
      <c r="AD52" s="103"/>
      <c r="AE52" s="70"/>
      <c r="AF52" s="70"/>
    </row>
    <row r="53" spans="1:32" ht="15.6" x14ac:dyDescent="0.25">
      <c r="A53" s="95">
        <v>47</v>
      </c>
      <c r="B53" s="96">
        <v>511523205049</v>
      </c>
      <c r="C53" s="97" t="s">
        <v>72</v>
      </c>
      <c r="D53" s="69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2"/>
      <c r="V53" s="101"/>
      <c r="W53" s="101"/>
      <c r="X53" s="101"/>
      <c r="Y53" s="101"/>
      <c r="Z53" s="101"/>
      <c r="AA53" s="101"/>
      <c r="AB53" s="101"/>
      <c r="AC53" s="101"/>
      <c r="AD53" s="103"/>
      <c r="AE53" s="70"/>
      <c r="AF53" s="70"/>
    </row>
    <row r="54" spans="1:32" ht="15.6" x14ac:dyDescent="0.25">
      <c r="A54" s="95">
        <v>48</v>
      </c>
      <c r="B54" s="96">
        <v>511523205050</v>
      </c>
      <c r="C54" s="97" t="s">
        <v>73</v>
      </c>
      <c r="D54" s="69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2"/>
      <c r="V54" s="101"/>
      <c r="W54" s="101"/>
      <c r="X54" s="101"/>
      <c r="Y54" s="101"/>
      <c r="Z54" s="101"/>
      <c r="AA54" s="101"/>
      <c r="AB54" s="101"/>
      <c r="AC54" s="101"/>
      <c r="AD54" s="103"/>
      <c r="AE54" s="70"/>
      <c r="AF54" s="70"/>
    </row>
    <row r="55" spans="1:32" ht="15.6" x14ac:dyDescent="0.25">
      <c r="A55" s="95">
        <v>49</v>
      </c>
      <c r="B55" s="96">
        <v>511523205051</v>
      </c>
      <c r="C55" s="97" t="s">
        <v>74</v>
      </c>
      <c r="D55" s="69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2"/>
      <c r="V55" s="101"/>
      <c r="W55" s="101"/>
      <c r="X55" s="101"/>
      <c r="Y55" s="101"/>
      <c r="Z55" s="101"/>
      <c r="AA55" s="101"/>
      <c r="AB55" s="101"/>
      <c r="AC55" s="101"/>
      <c r="AD55" s="103"/>
      <c r="AE55" s="70"/>
      <c r="AF55" s="70"/>
    </row>
    <row r="56" spans="1:32" ht="15.6" x14ac:dyDescent="0.25">
      <c r="A56" s="95">
        <v>50</v>
      </c>
      <c r="B56" s="96">
        <v>511523205052</v>
      </c>
      <c r="C56" s="97" t="s">
        <v>75</v>
      </c>
      <c r="D56" s="69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2"/>
      <c r="V56" s="101"/>
      <c r="W56" s="101"/>
      <c r="X56" s="101"/>
      <c r="Y56" s="101"/>
      <c r="Z56" s="101"/>
      <c r="AA56" s="101"/>
      <c r="AB56" s="101"/>
      <c r="AC56" s="101"/>
      <c r="AD56" s="103"/>
      <c r="AE56" s="70"/>
      <c r="AF56" s="70"/>
    </row>
    <row r="57" spans="1:32" x14ac:dyDescent="0.25">
      <c r="A57" s="95">
        <v>51</v>
      </c>
      <c r="B57" s="96">
        <v>511523205053</v>
      </c>
      <c r="C57" s="97" t="s">
        <v>76</v>
      </c>
      <c r="D57" s="68"/>
      <c r="E57" s="105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</row>
    <row r="58" spans="1:32" x14ac:dyDescent="0.25">
      <c r="A58" s="95">
        <v>52</v>
      </c>
      <c r="B58" s="96">
        <v>511523205054</v>
      </c>
      <c r="C58" s="97" t="s">
        <v>77</v>
      </c>
      <c r="D58" s="68"/>
      <c r="E58" s="105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</row>
    <row r="59" spans="1:32" x14ac:dyDescent="0.25">
      <c r="A59" s="95">
        <v>53</v>
      </c>
      <c r="B59" s="96">
        <v>511523205055</v>
      </c>
      <c r="C59" s="97" t="s">
        <v>78</v>
      </c>
      <c r="D59" s="68"/>
      <c r="E59" s="105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</row>
    <row r="60" spans="1:32" x14ac:dyDescent="0.25">
      <c r="A60" s="95">
        <v>54</v>
      </c>
      <c r="B60" s="96">
        <v>511523205056</v>
      </c>
      <c r="C60" s="97" t="s">
        <v>79</v>
      </c>
      <c r="D60" s="68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</row>
    <row r="61" spans="1:32" x14ac:dyDescent="0.25">
      <c r="A61" s="95">
        <v>55</v>
      </c>
      <c r="B61" s="96">
        <v>511523205057</v>
      </c>
      <c r="C61" s="97" t="s">
        <v>80</v>
      </c>
      <c r="D61" s="68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</row>
    <row r="62" spans="1:32" x14ac:dyDescent="0.25">
      <c r="A62" s="95">
        <v>56</v>
      </c>
      <c r="B62" s="96">
        <v>511523205058</v>
      </c>
      <c r="C62" s="97" t="s">
        <v>81</v>
      </c>
      <c r="D62" s="68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</row>
    <row r="63" spans="1:32" x14ac:dyDescent="0.25">
      <c r="A63" s="95">
        <v>57</v>
      </c>
      <c r="B63" s="96">
        <v>511523205059</v>
      </c>
      <c r="C63" s="97" t="s">
        <v>82</v>
      </c>
      <c r="D63" s="68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</row>
    <row r="64" spans="1:32" x14ac:dyDescent="0.25">
      <c r="A64" s="95">
        <v>58</v>
      </c>
      <c r="B64" s="96">
        <v>511523205060</v>
      </c>
      <c r="C64" s="100" t="s">
        <v>83</v>
      </c>
      <c r="D64" s="68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</row>
    <row r="65" spans="1:32" x14ac:dyDescent="0.25">
      <c r="A65" s="95">
        <v>59</v>
      </c>
      <c r="B65" s="96">
        <v>511523205061</v>
      </c>
      <c r="C65" s="97" t="s">
        <v>84</v>
      </c>
      <c r="D65" s="68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</row>
    <row r="66" spans="1:32" x14ac:dyDescent="0.25">
      <c r="A66" s="95">
        <v>60</v>
      </c>
      <c r="B66" s="96">
        <v>511523205062</v>
      </c>
      <c r="C66" s="97" t="s">
        <v>85</v>
      </c>
      <c r="D66" s="68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</row>
    <row r="67" spans="1:32" x14ac:dyDescent="0.25">
      <c r="A67" s="95">
        <v>61</v>
      </c>
      <c r="B67" s="96">
        <v>511523205063</v>
      </c>
      <c r="C67" s="97" t="s">
        <v>86</v>
      </c>
      <c r="D67" s="68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</row>
    <row r="68" spans="1:32" x14ac:dyDescent="0.25">
      <c r="A68" s="95">
        <v>62</v>
      </c>
      <c r="B68" s="96">
        <v>511523205064</v>
      </c>
      <c r="C68" s="97" t="s">
        <v>87</v>
      </c>
      <c r="D68" s="68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</row>
    <row r="69" spans="1:32" x14ac:dyDescent="0.25">
      <c r="A69" s="95">
        <v>63</v>
      </c>
      <c r="B69" s="96">
        <v>511523205301</v>
      </c>
      <c r="C69" s="97" t="s">
        <v>88</v>
      </c>
      <c r="D69" s="68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</row>
    <row r="70" spans="1:32" x14ac:dyDescent="0.25">
      <c r="A70" s="95">
        <v>64</v>
      </c>
      <c r="B70" s="96">
        <v>511523205701</v>
      </c>
      <c r="C70" s="97" t="s">
        <v>89</v>
      </c>
      <c r="D70" s="68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</row>
    <row r="73" spans="1:32" ht="15.6" x14ac:dyDescent="0.3">
      <c r="C73" s="34"/>
    </row>
    <row r="74" spans="1:32" ht="15.6" x14ac:dyDescent="0.3">
      <c r="C74" s="34"/>
    </row>
  </sheetData>
  <mergeCells count="15">
    <mergeCell ref="A3:D3"/>
    <mergeCell ref="E3:O3"/>
    <mergeCell ref="AE4:AE5"/>
    <mergeCell ref="AF4:AF5"/>
    <mergeCell ref="B4:B6"/>
    <mergeCell ref="A4:A6"/>
    <mergeCell ref="C4:C6"/>
    <mergeCell ref="AD4:AD5"/>
    <mergeCell ref="E1:O1"/>
    <mergeCell ref="P1:R1"/>
    <mergeCell ref="K2:O2"/>
    <mergeCell ref="A1:D1"/>
    <mergeCell ref="A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IAT I</vt:lpstr>
      <vt:lpstr>IAT II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Samyuktha</dc:creator>
  <dc:description/>
  <cp:lastModifiedBy>RAGURAM RAJARAM</cp:lastModifiedBy>
  <cp:revision>4</cp:revision>
  <dcterms:created xsi:type="dcterms:W3CDTF">2020-11-02T09:50:00Z</dcterms:created>
  <dcterms:modified xsi:type="dcterms:W3CDTF">2026-05-02T10:44:02Z</dcterms:modified>
  <dc:language>en-US</dc:language>
</cp:coreProperties>
</file>